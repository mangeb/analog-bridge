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Sheet" sheetId="1" state="visible" r:id="rId3"/>
    <sheet name="Cost Breakdown" sheetId="2" state="visible" r:id="rId4"/>
    <sheet name="Build Tim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<sst xmlns="http://schemas.openxmlformats.org/spreadsheetml/2006/main" count="1695" uniqueCount="736">
  <si>
    <t xml:space="preserve">1969 Chevrolet Nova — Complete Build Sheet</t>
  </si>
  <si>
    <t xml:space="preserve">454 BBC / TKO 600 / 3.73 Eaton Posi</t>
  </si>
  <si>
    <t xml:space="preserve">Date</t>
  </si>
  <si>
    <t xml:space="preserve">Item</t>
  </si>
  <si>
    <t xml:space="preserve">Category</t>
  </si>
  <si>
    <t xml:space="preserve">Type</t>
  </si>
  <si>
    <t xml:space="preserve">Total (USD)</t>
  </si>
  <si>
    <t xml:space="preserve">Notes</t>
  </si>
  <si>
    <t xml:space="preserve">Car (39 items)</t>
  </si>
  <si>
    <t xml:space="preserve">7/14/2007</t>
  </si>
  <si>
    <t xml:space="preserve">Paint</t>
  </si>
  <si>
    <t xml:space="preserve">Car</t>
  </si>
  <si>
    <t xml:space="preserve">Upgrade</t>
  </si>
  <si>
    <t xml:space="preserve">Previous owner</t>
  </si>
  <si>
    <t xml:space="preserve">11/26/2007</t>
  </si>
  <si>
    <t xml:space="preserve">Purchase</t>
  </si>
  <si>
    <t xml:space="preserve">2/6/2008</t>
  </si>
  <si>
    <t xml:space="preserve">2 x Trico II wiper 16</t>
  </si>
  <si>
    <t xml:space="preserve">Consumable</t>
  </si>
  <si>
    <t xml:space="preserve">Wiper blades</t>
  </si>
  <si>
    <t xml:space="preserve">2/9/2008</t>
  </si>
  <si>
    <t xml:space="preserve">Misc parts.</t>
  </si>
  <si>
    <t xml:space="preserve">Repair</t>
  </si>
  <si>
    <t xml:space="preserve">2/13/2008</t>
  </si>
  <si>
    <t xml:space="preserve">White bubble sun shade</t>
  </si>
  <si>
    <t xml:space="preserve">2/27/2008</t>
  </si>
  <si>
    <t xml:space="preserve">9/17/2008</t>
  </si>
  <si>
    <t xml:space="preserve">Damping pad</t>
  </si>
  <si>
    <t xml:space="preserve">SUM-879006</t>
  </si>
  <si>
    <t xml:space="preserve">Maxout 2.5LB Firextinguisher</t>
  </si>
  <si>
    <t xml:space="preserve">HTR-MX250R</t>
  </si>
  <si>
    <t xml:space="preserve">10/27/2008</t>
  </si>
  <si>
    <t xml:space="preserve">12/8/2008</t>
  </si>
  <si>
    <t xml:space="preserve">1/7/2009</t>
  </si>
  <si>
    <t xml:space="preserve">Paint Hood</t>
  </si>
  <si>
    <t xml:space="preserve">2/8/2009</t>
  </si>
  <si>
    <t xml:space="preserve">Frakt kostnad</t>
  </si>
  <si>
    <t xml:space="preserve">Import</t>
  </si>
  <si>
    <t xml:space="preserve">1,495 + 400(2% insurance) USD</t>
  </si>
  <si>
    <t xml:space="preserve">5/7/2009</t>
  </si>
  <si>
    <t xml:space="preserve">Avlastnings kostnad</t>
  </si>
  <si>
    <t xml:space="preserve">6/1/2009</t>
  </si>
  <si>
    <t xml:space="preserve">Urspungskontroll</t>
  </si>
  <si>
    <t xml:space="preserve">Registrerings besiktning</t>
  </si>
  <si>
    <t xml:space="preserve">Kontroll besiktning</t>
  </si>
  <si>
    <t xml:space="preserve">6/22/2010</t>
  </si>
  <si>
    <t xml:space="preserve">Pulver lackering av framvagns</t>
  </si>
  <si>
    <t xml:space="preserve">9/23/2010</t>
  </si>
  <si>
    <t xml:space="preserve">Body mount</t>
  </si>
  <si>
    <t xml:space="preserve">ENS-3-4142G</t>
  </si>
  <si>
    <t xml:space="preserve">6/17/2017</t>
  </si>
  <si>
    <t xml:space="preserve">Shipping</t>
  </si>
  <si>
    <t xml:space="preserve">8/30/2017</t>
  </si>
  <si>
    <t xml:space="preserve">Import and Transport</t>
  </si>
  <si>
    <t xml:space="preserve">11/28/2017</t>
  </si>
  <si>
    <t xml:space="preserve">Hose and Line Mounting Clamps, Braided Line, 9/16 in., Plastic, Set of 6</t>
  </si>
  <si>
    <t xml:space="preserve">http://www.summitracing.com/parts/NTH-2616-6</t>
  </si>
  <si>
    <t xml:space="preserve">12/4/2017</t>
  </si>
  <si>
    <t xml:space="preserve">2/6/2018</t>
  </si>
  <si>
    <t xml:space="preserve">IRE-1281 1968-1974 Nova Firewall Insulation Pad Without A/C</t>
  </si>
  <si>
    <t xml:space="preserve">8/6/2020</t>
  </si>
  <si>
    <t xml:space="preserve">IM-6810 Nova Rear View Mirror 10 Inch</t>
  </si>
  <si>
    <t xml:space="preserve">IK-353 Nova Headlight Knob</t>
  </si>
  <si>
    <t xml:space="preserve">LSB-459 Nova Rear Side Marker Bezels</t>
  </si>
  <si>
    <t xml:space="preserve">LSG-X68 Nova Side Marker Bezel Gaskets</t>
  </si>
  <si>
    <t xml:space="preserve">IE-842 Nova Rear View Mirror Adjustor Screw</t>
  </si>
  <si>
    <t xml:space="preserve">9/5/2020</t>
  </si>
  <si>
    <t xml:space="preserve">TIN SPEED NUT EMBLEM STUD (#83102)</t>
  </si>
  <si>
    <t xml:space="preserve">TRUNK NOVA EMBLEM (#76014-1)</t>
  </si>
  <si>
    <t xml:space="preserve">NOVA FENDER EMBLEM (#76040)</t>
  </si>
  <si>
    <t xml:space="preserve">HOOD LIP MOLDING EMBLEM (#76010)</t>
  </si>
  <si>
    <t xml:space="preserve">10/14/2020</t>
  </si>
  <si>
    <t xml:space="preserve">DOOR HINGE PIN REPAIR KIT 66-67CHEVELLE 67-69CAMARO 68+NOVA BPX-1225</t>
  </si>
  <si>
    <t xml:space="preserve">SUNVISOR BUSHING TIP KIT (DOES 2 VISORS) IC-21</t>
  </si>
  <si>
    <t xml:space="preserve">SUN VISOR SUPPORT SCREW KIT 6PC 1964-72 GM HARDTOP ISS-12545</t>
  </si>
  <si>
    <t xml:space="preserve">SUNVISOR SUPPORT HARDTOP EACH 67-69 CAMARO,64+CHEVELLE NOVA IBB-0753</t>
  </si>
  <si>
    <t xml:space="preserve">DOOR STRIKER KIT OEM STYLE 2 CORRECT ALLEN HEAD BPX-1299K</t>
  </si>
  <si>
    <t xml:space="preserve">DOOR HINGE DETENT ROLLER 1968-69 CAMARO PR 1968-74 NOVA LG ROLLERS RDR-689K</t>
  </si>
  <si>
    <t xml:space="preserve">Engine (106 items)</t>
  </si>
  <si>
    <t xml:space="preserve">5/5/2001</t>
  </si>
  <si>
    <t xml:space="preserve">25-7520 V-Belt</t>
  </si>
  <si>
    <t xml:space="preserve">Engine</t>
  </si>
  <si>
    <t xml:space="preserve">11/30/2007</t>
  </si>
  <si>
    <t xml:space="preserve">5a326 air filter</t>
  </si>
  <si>
    <t xml:space="preserve">12/4/2007</t>
  </si>
  <si>
    <t xml:space="preserve">4006 Bosch Platinum</t>
  </si>
  <si>
    <t xml:space="preserve">HR9APX</t>
  </si>
  <si>
    <t xml:space="preserve">Rochester carb kit</t>
  </si>
  <si>
    <t xml:space="preserve">2/25/2008</t>
  </si>
  <si>
    <t xml:space="preserve">MSD 6 AL</t>
  </si>
  <si>
    <t xml:space="preserve">MSD-6420</t>
  </si>
  <si>
    <t xml:space="preserve">MSD Blaster coil</t>
  </si>
  <si>
    <t xml:space="preserve">MSD-8202</t>
  </si>
  <si>
    <t xml:space="preserve">Wire Loom</t>
  </si>
  <si>
    <t xml:space="preserve">RNM-1102S</t>
  </si>
  <si>
    <t xml:space="preserve">MSD Distributor</t>
  </si>
  <si>
    <t xml:space="preserve">MSD-8361</t>
  </si>
  <si>
    <t xml:space="preserve">MSD Sparkplug wires kit</t>
  </si>
  <si>
    <t xml:space="preserve">MSD-31189</t>
  </si>
  <si>
    <t xml:space="preserve">BBC Valve cover casket</t>
  </si>
  <si>
    <t xml:space="preserve">SUM-g2310</t>
  </si>
  <si>
    <t xml:space="preserve">Aircleaner 13 inch</t>
  </si>
  <si>
    <t xml:space="preserve">MOR-65910</t>
  </si>
  <si>
    <t xml:space="preserve">Wing nut aircleaner</t>
  </si>
  <si>
    <t xml:space="preserve">MOR-65820</t>
  </si>
  <si>
    <t xml:space="preserve">Vavle covers</t>
  </si>
  <si>
    <t xml:space="preserve">MOR-6896</t>
  </si>
  <si>
    <t xml:space="preserve">3/3/2008</t>
  </si>
  <si>
    <t xml:space="preserve">Coil cvr kit uni mnt 45183</t>
  </si>
  <si>
    <t xml:space="preserve">Ignition coil cover with base</t>
  </si>
  <si>
    <t xml:space="preserve">4/26/2008</t>
  </si>
  <si>
    <t xml:space="preserve">2-5736a Carb rebuild quit</t>
  </si>
  <si>
    <t xml:space="preserve">Qjet</t>
  </si>
  <si>
    <t xml:space="preserve">4/28/2008</t>
  </si>
  <si>
    <t xml:space="preserve">Radiator cap</t>
  </si>
  <si>
    <t xml:space="preserve">SUM-380153</t>
  </si>
  <si>
    <t xml:space="preserve">12/29/2008</t>
  </si>
  <si>
    <t xml:space="preserve">Comp Cam Rockers 1.7</t>
  </si>
  <si>
    <t xml:space="preserve">CCA-1320-16</t>
  </si>
  <si>
    <t xml:space="preserve">Edelbrock Top end kit</t>
  </si>
  <si>
    <t xml:space="preserve">EDL-2095</t>
  </si>
  <si>
    <t xml:space="preserve">Carb return spring</t>
  </si>
  <si>
    <t xml:space="preserve">SUM-G1320</t>
  </si>
  <si>
    <t xml:space="preserve">Carb adaptor</t>
  </si>
  <si>
    <t xml:space="preserve">SUM-g1401</t>
  </si>
  <si>
    <t xml:space="preserve">Tee adapt kit sga20</t>
  </si>
  <si>
    <t xml:space="preserve">SUN-CP7556</t>
  </si>
  <si>
    <t xml:space="preserve">3/5/2010</t>
  </si>
  <si>
    <t xml:space="preserve">Flywheel bolts</t>
  </si>
  <si>
    <t xml:space="preserve">MRG-912</t>
  </si>
  <si>
    <t xml:space="preserve">ARP Chevy mount to frame mount</t>
  </si>
  <si>
    <t xml:space="preserve">ARP-130-3105</t>
  </si>
  <si>
    <t xml:space="preserve">ARP main stud kit</t>
  </si>
  <si>
    <t xml:space="preserve">ARP-135-5402 </t>
  </si>
  <si>
    <t xml:space="preserve">Clevite rod bearing set</t>
  </si>
  <si>
    <t xml:space="preserve">CLE-CB743HN10</t>
  </si>
  <si>
    <t xml:space="preserve">Clevite main bearing set</t>
  </si>
  <si>
    <t xml:space="preserve">CLE-MS829H10 </t>
  </si>
  <si>
    <t xml:space="preserve">Engine bolt kit hex</t>
  </si>
  <si>
    <t xml:space="preserve">ARP-535-9601</t>
  </si>
  <si>
    <t xml:space="preserve">Premium plug expansion</t>
  </si>
  <si>
    <t xml:space="preserve">SLP-381-8009</t>
  </si>
  <si>
    <t xml:space="preserve">Motor mounts bbc</t>
  </si>
  <si>
    <t xml:space="preserve">SUM-7731117 </t>
  </si>
  <si>
    <t xml:space="preserve">Chrome plug kit</t>
  </si>
  <si>
    <t xml:space="preserve">SUM-G1484C </t>
  </si>
  <si>
    <t xml:space="preserve">3/8 npt to 3/8 barb fitting</t>
  </si>
  <si>
    <t xml:space="preserve">SUM-G3116</t>
  </si>
  <si>
    <t xml:space="preserve">Fitting</t>
  </si>
  <si>
    <t xml:space="preserve">TNT-30245</t>
  </si>
  <si>
    <t xml:space="preserve">Harmonic balancer bolt</t>
  </si>
  <si>
    <t xml:space="preserve">MRG-946G</t>
  </si>
  <si>
    <t xml:space="preserve">3/6/2010</t>
  </si>
  <si>
    <t xml:space="preserve">SRP Piston set</t>
  </si>
  <si>
    <t xml:space="preserve">SRP-212142</t>
  </si>
  <si>
    <t xml:space="preserve">3/19/2010</t>
  </si>
  <si>
    <t xml:space="preserve">TNT-30244</t>
  </si>
  <si>
    <t xml:space="preserve">4/14/2010</t>
  </si>
  <si>
    <t xml:space="preserve">Sportman ring set</t>
  </si>
  <si>
    <t xml:space="preserve">JEP-S100S8-42805</t>
  </si>
  <si>
    <t xml:space="preserve">Valve cover tab</t>
  </si>
  <si>
    <t xml:space="preserve">TRD-9640</t>
  </si>
  <si>
    <t xml:space="preserve">4/15/2010</t>
  </si>
  <si>
    <t xml:space="preserve">Uppmatning block + vev, polering vev, platahoning</t>
  </si>
  <si>
    <t xml:space="preserve">Engine color</t>
  </si>
  <si>
    <t xml:space="preserve">Eagle Specialty Products Connecting rod</t>
  </si>
  <si>
    <t xml:space="preserve">esp-63853d</t>
  </si>
  <si>
    <t xml:space="preserve">5/19/2010</t>
  </si>
  <si>
    <t xml:space="preserve">Carb studs</t>
  </si>
  <si>
    <t xml:space="preserve">MRG-6345G </t>
  </si>
  <si>
    <t xml:space="preserve">8 AN tube sleeves 2pk</t>
  </si>
  <si>
    <t xml:space="preserve">SUM-220834-2B</t>
  </si>
  <si>
    <t xml:space="preserve">Aluminum tube 1/2 in 25 ft</t>
  </si>
  <si>
    <t xml:space="preserve">SUM-G2512</t>
  </si>
  <si>
    <t xml:space="preserve">S S braided hose 8 3 ft</t>
  </si>
  <si>
    <t xml:space="preserve">SUM-230803  </t>
  </si>
  <si>
    <t xml:space="preserve">Insulated clamps 1/2 in 10pck</t>
  </si>
  <si>
    <t xml:space="preserve">SUM-G1882</t>
  </si>
  <si>
    <t xml:space="preserve">8 AN to 3/8 adapter</t>
  </si>
  <si>
    <t xml:space="preserve">SUM-220846B</t>
  </si>
  <si>
    <t xml:space="preserve">Holley Carb</t>
  </si>
  <si>
    <t xml:space="preserve">HLY-0-80531</t>
  </si>
  <si>
    <t xml:space="preserve">Starter heat blanket</t>
  </si>
  <si>
    <t xml:space="preserve">SUM-350118</t>
  </si>
  <si>
    <t xml:space="preserve">Spark plug protectors</t>
  </si>
  <si>
    <t xml:space="preserve">DEI-010502</t>
  </si>
  <si>
    <t xml:space="preserve">09/09/11</t>
  </si>
  <si>
    <t xml:space="preserve">https://www.hansenracing.se/Produkt/Midstate-7273-12-Generator-587024 + AN10 45 earl, anslutning</t>
  </si>
  <si>
    <t xml:space="preserve">8/1/2014</t>
  </si>
  <si>
    <t xml:space="preserve">2 x Wix oil filter</t>
  </si>
  <si>
    <t xml:space="preserve">WIX-51060R</t>
  </si>
  <si>
    <t xml:space="preserve">BBC gasket set</t>
  </si>
  <si>
    <t xml:space="preserve">FEL-KS2618</t>
  </si>
  <si>
    <t xml:space="preserve">Hydraulic roller lifters</t>
  </si>
  <si>
    <t xml:space="preserve">EDL-97433</t>
  </si>
  <si>
    <t xml:space="preserve">Pushrods</t>
  </si>
  <si>
    <t xml:space="preserve">EDL-9647</t>
  </si>
  <si>
    <t xml:space="preserve">Rollin' Thunder Hydraulic Roller Camshafts</t>
  </si>
  <si>
    <t xml:space="preserve">EDL-2261</t>
  </si>
  <si>
    <t xml:space="preserve">4/27/2016</t>
  </si>
  <si>
    <t xml:space="preserve">Split timing cover</t>
  </si>
  <si>
    <t xml:space="preserve">CLO-9-231</t>
  </si>
  <si>
    <t xml:space="preserve">Cam plate</t>
  </si>
  <si>
    <t xml:space="preserve">RS-94550</t>
  </si>
  <si>
    <t xml:space="preserve">Timing cover gasket set</t>
  </si>
  <si>
    <t xml:space="preserve">FEL-TCS45272</t>
  </si>
  <si>
    <t xml:space="preserve">9/26/2017</t>
  </si>
  <si>
    <t xml:space="preserve">Exhaust Gasket</t>
  </si>
  <si>
    <t xml:space="preserve">https://www.summitracing.com/parts/edl-7205</t>
  </si>
  <si>
    <t xml:space="preserve">K&amp;N Air filter</t>
  </si>
  <si>
    <t xml:space="preserve">https://www.summitracing.com/parts/knn-e-1650</t>
  </si>
  <si>
    <t xml:space="preserve">PCV Valve</t>
  </si>
  <si>
    <t xml:space="preserve">https://www.summitracing.com/parts/ado-cv774c</t>
  </si>
  <si>
    <t xml:space="preserve">Valve cover breather</t>
  </si>
  <si>
    <t xml:space="preserve">https://www.summitracing.com/parts/spe-4278</t>
  </si>
  <si>
    <t xml:space="preserve">Ground Strap</t>
  </si>
  <si>
    <t xml:space="preserve">https://www.summitracing.com/parts/aww-500350</t>
  </si>
  <si>
    <t xml:space="preserve">Univer Hose drain 1.75" black</t>
  </si>
  <si>
    <t xml:space="preserve">https://www.summitracing.com/parts/sme-2201-11</t>
  </si>
  <si>
    <t xml:space="preserve">Holley 0.0042 pump discharge nozzle</t>
  </si>
  <si>
    <t xml:space="preserve">https://www.summitracing.com/parts/hly-121-42</t>
  </si>
  <si>
    <t xml:space="preserve">Magnetic Oil pan plug</t>
  </si>
  <si>
    <t xml:space="preserve">https://www.summitracing.com/parts/sum-g15</t>
  </si>
  <si>
    <t xml:space="preserve">Oil filter x 2</t>
  </si>
  <si>
    <t xml:space="preserve">https://www.summitracing.com/parts/wix-51060r</t>
  </si>
  <si>
    <t xml:space="preserve">6 ft Heater hose 578 inches x 2</t>
  </si>
  <si>
    <t xml:space="preserve">https://www.summitracing.com/parts/sum-230503-6</t>
  </si>
  <si>
    <t xml:space="preserve">9/29/2017</t>
  </si>
  <si>
    <t xml:space="preserve">MSD Terminals and Boots kit</t>
  </si>
  <si>
    <t xml:space="preserve">https://www.summitracing.com/parts/msd-8849</t>
  </si>
  <si>
    <t xml:space="preserve">Throttle linkage stud</t>
  </si>
  <si>
    <t xml:space="preserve">https://www.summitracing.com/parts/sum-g1416</t>
  </si>
  <si>
    <t xml:space="preserve">Holley Accelerator Pump Cams</t>
  </si>
  <si>
    <t xml:space="preserve">https://www.summitracing.com/parts/hly-20-12</t>
  </si>
  <si>
    <t xml:space="preserve">10/9/2017</t>
  </si>
  <si>
    <t xml:space="preserve">Throttle Linkage, Aluminum, Red Anodized, Kit</t>
  </si>
  <si>
    <t xml:space="preserve">http://www.summitracing.com/parts/JOE-34200</t>
  </si>
  <si>
    <t xml:space="preserve">Vacuum Hose, Silicone, Black, 0.375 in. I.D., 10 ft. Length, Each</t>
  </si>
  <si>
    <t xml:space="preserve">http://www.summitracing.com/parts/VPE-2107</t>
  </si>
  <si>
    <t xml:space="preserve">Fuel tank cap vented</t>
  </si>
  <si>
    <t xml:space="preserve">http://www.ss396.com/nova/XTC-149.html</t>
  </si>
  <si>
    <t xml:space="preserve">10/10/2017</t>
  </si>
  <si>
    <t xml:space="preserve">5/8" Insulated clamps 10 pk</t>
  </si>
  <si>
    <t xml:space="preserve">https://www.summitracing.com/parts/sum-g1883</t>
  </si>
  <si>
    <t xml:space="preserve">3/8" Vacuum Hose</t>
  </si>
  <si>
    <t xml:space="preserve">https://www.summitracing.com/parts/vpe-2107</t>
  </si>
  <si>
    <t xml:space="preserve">Joe throttle linkage</t>
  </si>
  <si>
    <t xml:space="preserve">https://www.summitracing.com/parts/joe-34200</t>
  </si>
  <si>
    <t xml:space="preserve">11/6/2017</t>
  </si>
  <si>
    <t xml:space="preserve">Heat wrap it shield - split 3/4 inch</t>
  </si>
  <si>
    <t xml:space="preserve">http://www.summitracing.com/parts/RUS-629150</t>
  </si>
  <si>
    <t xml:space="preserve">11/10/2017</t>
  </si>
  <si>
    <t xml:space="preserve">Heat Protection, Fire Shield, 500 degrees F Maximum, Slip-on, Red, 0.750 in. Diameter, 36 in. Length, Each</t>
  </si>
  <si>
    <t xml:space="preserve">http://www.summitracing.com/parts/HSP-210014</t>
  </si>
  <si>
    <t xml:space="preserve">Hose and Line Mounting Clamps, Soft Line, 1/2 in., Plastic, Set of 6</t>
  </si>
  <si>
    <t xml:space="preserve">http://www.summitracing.com/parts/NTH-3080-6</t>
  </si>
  <si>
    <t xml:space="preserve">12/30/2017</t>
  </si>
  <si>
    <t xml:space="preserve">Fitting, Long Heater Hose, Billet Aluminum, Polished, Straight, 1/2 in. NPT, to 3/4 in. Hose Barb, Each</t>
  </si>
  <si>
    <t xml:space="preserve">http://www.summitracing.com/parts/EMS-MS116-1234LP</t>
  </si>
  <si>
    <t xml:space="preserve">1/2/2018</t>
  </si>
  <si>
    <t xml:space="preserve">Valve Cover Bolts, Stainless Hex, Cast Aluminum Covers, 1/4 in.-20 Thread, Set of 14</t>
  </si>
  <si>
    <t xml:space="preserve">http://www.summitracing.com/parts/ARP-400-7508</t>
  </si>
  <si>
    <t xml:space="preserve">Heater Hose, Molded, Rubber, Black, Each</t>
  </si>
  <si>
    <t xml:space="preserve">http://www.summitracing.com/parts/DAC-70647</t>
  </si>
  <si>
    <t xml:space="preserve">V-Belt, Top Cog, 0.440 in. Width, 46.00 in. Length, Each</t>
  </si>
  <si>
    <t xml:space="preserve">http://www.summitracing.com/parts/DAC-15460</t>
  </si>
  <si>
    <t xml:space="preserve">V-Belt, Top Cog, V-Belt, .440 in. Width, 40.50 in. Length, Each</t>
  </si>
  <si>
    <t xml:space="preserve">http://www.summitracing.com/parts/DAC-15405</t>
  </si>
  <si>
    <t xml:space="preserve">11/10/2018</t>
  </si>
  <si>
    <t xml:space="preserve">Airtex 4V1053 Distributor Vacuum Advance</t>
  </si>
  <si>
    <t xml:space="preserve">12/9/2018</t>
  </si>
  <si>
    <t xml:space="preserve">2 of FiTech 60012 Oxygen Sensor Bung Kit</t>
  </si>
  <si>
    <t xml:space="preserve">3 of WIX Filters - 51060R Spin-On Lube Filter, Pack of 1</t>
  </si>
  <si>
    <t xml:space="preserve">4/18/2019</t>
  </si>
  <si>
    <t xml:space="preserve">Heat Protection, Fire Shield, 500 degrees F Maximum, Slip-on, Red, 0.500 in. Diameter, 36 in. Length,</t>
  </si>
  <si>
    <t xml:space="preserve">https://www.summitracing.com/parts/HSP-210012</t>
  </si>
  <si>
    <t xml:space="preserve">Fitting, Bushing Reducer, Male 1/2 in. NPT to Female 1/4 in. NPT, Aluminum, Black Anodized, Each</t>
  </si>
  <si>
    <t xml:space="preserve">https://www.summitracing.com/parts/FRA-491205-BL</t>
  </si>
  <si>
    <t xml:space="preserve">12/8/2019</t>
  </si>
  <si>
    <t xml:space="preserve">5/16-18 x 3/4" Button Head Socket Cap Screws, Alloy Steel Grade 10.9, Allen Hex Drive, 12 PCS</t>
  </si>
  <si>
    <t xml:space="preserve">NGK Spark Plug BKR5E-11, Pack of 4 * 3</t>
  </si>
  <si>
    <t xml:space="preserve">https://www.amazon.com/gp/product/B000VXKDIU/ref=ppx_yo_dt_b_asin_title_o02_s00?ie=UTF8&amp;psc=1</t>
  </si>
  <si>
    <t xml:space="preserve">Holley 36-181 Jet Assortment Kit</t>
  </si>
  <si>
    <t xml:space="preserve">https://www.amazon.com/gp/product/B00062YD28/ref=ppx_yo_dt_b_asin_title_o03_s00?ie=UTF8&amp;psc=1</t>
  </si>
  <si>
    <t xml:space="preserve">12/16/2019</t>
  </si>
  <si>
    <t xml:space="preserve">AED 5585 Vacuum Secondary Quick Change Tuning Kit</t>
  </si>
  <si>
    <t xml:space="preserve">https://www.amazon.com/gp/product/B000CIEMQI/ref=ppx_yo_dt_b_asin_title_o01_s00?ie=UTF8&amp;psc=1</t>
  </si>
  <si>
    <t xml:space="preserve">7/12/2020</t>
  </si>
  <si>
    <t xml:space="preserve">OIL FILTER</t>
  </si>
  <si>
    <t xml:space="preserve">WIX-51069</t>
  </si>
  <si>
    <t xml:space="preserve">POWER VALVE</t>
  </si>
  <si>
    <t xml:space="preserve">HLY-125-85</t>
  </si>
  <si>
    <t xml:space="preserve">ULTRA-SEAL EXH GSKT BB CHEVY</t>
  </si>
  <si>
    <t xml:space="preserve">MRG-5910</t>
  </si>
  <si>
    <t xml:space="preserve">BBC ALTERNATOR BRACKET</t>
  </si>
  <si>
    <t xml:space="preserve">ICB-551663</t>
  </si>
  <si>
    <t xml:space="preserve">HLY-125-65</t>
  </si>
  <si>
    <t xml:space="preserve">CARBURETOR GASKET</t>
  </si>
  <si>
    <t xml:space="preserve">HLY-108-124</t>
  </si>
  <si>
    <t xml:space="preserve">GASKET KIT REUSABLE 4150</t>
  </si>
  <si>
    <t xml:space="preserve">SUM-200833-2</t>
  </si>
  <si>
    <t xml:space="preserve">CPN-0638 1964-1977 Chevelle Radiator Overflow Hose</t>
  </si>
  <si>
    <t xml:space="preserve">8/13/2020</t>
  </si>
  <si>
    <t xml:space="preserve">ARP 430-3502 - ARP Starter Bolt Kits</t>
  </si>
  <si>
    <t xml:space="preserve">CVR 5323OS - CVR Protorque Starters</t>
  </si>
  <si>
    <t xml:space="preserve">9/21/2021</t>
  </si>
  <si>
    <t xml:space="preserve">ARP-430-3507STARTER BOLT SET</t>
  </si>
  <si>
    <t xml:space="preserve">MOR-85497AIR/OIL SEPARATOR</t>
  </si>
  <si>
    <t xml:space="preserve">Driveline (20 items)</t>
  </si>
  <si>
    <t xml:space="preserve">8/26/2008</t>
  </si>
  <si>
    <t xml:space="preserve">TKO 600 Street kit (0.64)</t>
  </si>
  <si>
    <t xml:space="preserve">Driveline</t>
  </si>
  <si>
    <t xml:space="preserve">9/2/2008</t>
  </si>
  <si>
    <t xml:space="preserve">Transmission fluid 12345349</t>
  </si>
  <si>
    <t xml:space="preserve">Bearing 14061685</t>
  </si>
  <si>
    <t xml:space="preserve">9/3/2008</t>
  </si>
  <si>
    <t xml:space="preserve">6150-1191 Dust boot</t>
  </si>
  <si>
    <t xml:space="preserve">Ram Powergrip clutch 11" ram-98764</t>
  </si>
  <si>
    <t xml:space="preserve">RAM-98764</t>
  </si>
  <si>
    <t xml:space="preserve">9/22/2008</t>
  </si>
  <si>
    <t xml:space="preserve">Flywheel resurface</t>
  </si>
  <si>
    <t xml:space="preserve">Service</t>
  </si>
  <si>
    <t xml:space="preserve">9/24/2008</t>
  </si>
  <si>
    <t xml:space="preserve">1011 GM Dowels pins</t>
  </si>
  <si>
    <t xml:space="preserve">10/6/2008</t>
  </si>
  <si>
    <t xml:space="preserve">Custom driveshaft</t>
  </si>
  <si>
    <t xml:space="preserve">10/30/2008</t>
  </si>
  <si>
    <t xml:space="preserve">Rearend build</t>
  </si>
  <si>
    <t xml:space="preserve">3.73, Eaton posi, 30 spline axles, 1350 Yoke</t>
  </si>
  <si>
    <t xml:space="preserve">12/16/2008</t>
  </si>
  <si>
    <t xml:space="preserve">353 U-Joint</t>
  </si>
  <si>
    <t xml:space="preserve">Pressure plate bolts</t>
  </si>
  <si>
    <t xml:space="preserve">MRG-910  </t>
  </si>
  <si>
    <t xml:space="preserve">08/10/2020</t>
  </si>
  <si>
    <t xml:space="preserve">Auto Metal Direct W-781 - Auto Metal Direct Clutch Linkage Sets amd-w-781 </t>
  </si>
  <si>
    <t xml:space="preserve">8/10/2020</t>
  </si>
  <si>
    <t xml:space="preserve">BR4 Ring, sizing, precision, 4-11/16” GM bearing retainers to 5-1/8” bore bellhousings</t>
  </si>
  <si>
    <t xml:space="preserve">PICO Wiring 5615PT - Pico Connector</t>
  </si>
  <si>
    <t xml:space="preserve">Summit Racing SUM-700104 Racing® Clutch Forks</t>
  </si>
  <si>
    <t xml:space="preserve">Summit Racing SUM-700110 Adjustable Clutch Fork Pivot Balls</t>
  </si>
  <si>
    <t xml:space="preserve">Centerforce N1716 - Centerforce Throwout Ready to Ship $47.95 1 $47.95 Bearings</t>
  </si>
  <si>
    <t xml:space="preserve">Replacement Urethane springs with bolts and nuts for clutch.</t>
  </si>
  <si>
    <t xml:space="preserve">ARP 129-0901 - ARP Bellhousing Bolt Kits</t>
  </si>
  <si>
    <t xml:space="preserve">Electrical (49 items)</t>
  </si>
  <si>
    <t xml:space="preserve">1/22/2008</t>
  </si>
  <si>
    <t xml:space="preserve">2124h18 22-18 awg bullet female</t>
  </si>
  <si>
    <t xml:space="preserve">Electrical</t>
  </si>
  <si>
    <t xml:space="preserve">Terminals</t>
  </si>
  <si>
    <t xml:space="preserve">Pioneer ts-g1041r</t>
  </si>
  <si>
    <t xml:space="preserve">Speaker</t>
  </si>
  <si>
    <t xml:space="preserve">2125h 22-18 awg bullet male</t>
  </si>
  <si>
    <t xml:space="preserve">Pioneer deh-p50000ub</t>
  </si>
  <si>
    <t xml:space="preserve">Stereo</t>
  </si>
  <si>
    <t xml:space="preserve">Blaupunkt thx693</t>
  </si>
  <si>
    <t xml:space="preserve">2/17/2008</t>
  </si>
  <si>
    <t xml:space="preserve">Light bulb 1157llbp</t>
  </si>
  <si>
    <t xml:space="preserve">Light bulb 168bp</t>
  </si>
  <si>
    <t xml:space="preserve">2/22/2008</t>
  </si>
  <si>
    <t xml:space="preserve">Bulb 1157llbp</t>
  </si>
  <si>
    <t xml:space="preserve">Autometer 3 3/4 8k RPM tach</t>
  </si>
  <si>
    <t xml:space="preserve">ATM2302</t>
  </si>
  <si>
    <t xml:space="preserve">3/1/2008</t>
  </si>
  <si>
    <t xml:space="preserve">Misc heatshrink and terminals kit</t>
  </si>
  <si>
    <t xml:space="preserve">3/16/2008</t>
  </si>
  <si>
    <t xml:space="preserve">Duralast Top post battery cable</t>
  </si>
  <si>
    <t xml:space="preserve">Duralast Battery 24f-dlg</t>
  </si>
  <si>
    <t xml:space="preserve">3/17/2008</t>
  </si>
  <si>
    <t xml:space="preserve">Fuses</t>
  </si>
  <si>
    <t xml:space="preserve">Mini blade fuse</t>
  </si>
  <si>
    <t xml:space="preserve">719899 Ground strap</t>
  </si>
  <si>
    <t xml:space="preserve">Autometer Gauge console</t>
  </si>
  <si>
    <t xml:space="preserve">ATM-2398</t>
  </si>
  <si>
    <t xml:space="preserve">Autometer bulb covers green</t>
  </si>
  <si>
    <t xml:space="preserve">ATM-3215</t>
  </si>
  <si>
    <t xml:space="preserve">Battery </t>
  </si>
  <si>
    <t xml:space="preserve">80-2752,75 ah,272x175x175,720 cca, 17,2 kg</t>
  </si>
  <si>
    <t xml:space="preserve">Power stud Red</t>
  </si>
  <si>
    <t xml:space="preserve">https://www.summitracing.com/parts/sum-900182</t>
  </si>
  <si>
    <t xml:space="preserve">Grounding box</t>
  </si>
  <si>
    <t xml:space="preserve">https://www.summitracing.com/parts/aww-500715</t>
  </si>
  <si>
    <t xml:space="preserve">8 Ga red primary wire</t>
  </si>
  <si>
    <t xml:space="preserve">https://www.summitracing.com/parts/pco-81081pt</t>
  </si>
  <si>
    <t xml:space="preserve">8 Ga black primary wire</t>
  </si>
  <si>
    <t xml:space="preserve">https://www.summitracing.com/parts/pco-81083pt</t>
  </si>
  <si>
    <t xml:space="preserve">Power stud Black</t>
  </si>
  <si>
    <t xml:space="preserve">https://www.summitracing.com/parts/sum-900184</t>
  </si>
  <si>
    <t xml:space="preserve">Headlamp Switch</t>
  </si>
  <si>
    <t xml:space="preserve">https://www.summitracing.com/parts/gmk-4010-523-641</t>
  </si>
  <si>
    <t xml:space="preserve">10/23/2017</t>
  </si>
  <si>
    <t xml:space="preserve">UX Cell M50 insulated strap 2" dia, 2pcs</t>
  </si>
  <si>
    <t xml:space="preserve">https://www.amazon.com/gp/product/B06Y4BPSCK/ref=od_aui_detailpages00?ie=UTF8&amp;psc=1</t>
  </si>
  <si>
    <t xml:space="preserve">Summit split braid sleeve - 1 inch</t>
  </si>
  <si>
    <t xml:space="preserve">http://www.summitracing.com/parts/SUM-890344</t>
  </si>
  <si>
    <t xml:space="preserve">Summit split braid sleeve - 3/4 inch</t>
  </si>
  <si>
    <t xml:space="preserve">http://www.summitracing.com/parts/SUM-890342</t>
  </si>
  <si>
    <t xml:space="preserve">11/14/2017</t>
  </si>
  <si>
    <t xml:space="preserve">Innovate Motorsports Gauge, DLG-1 Dual Lambda Air/Fuel Ratio, Digital, Round, Bar Graph, 2 1/16 in., Left and Right AFR, Kit</t>
  </si>
  <si>
    <t xml:space="preserve">http://www.summitracing.com/parts/INN-3891</t>
  </si>
  <si>
    <t xml:space="preserve">Starter Solenoid, Flat Base, Ford-style, Each</t>
  </si>
  <si>
    <t xml:space="preserve">https://www.summitracing.com/parts/QCR-50-430</t>
  </si>
  <si>
    <t xml:space="preserve">Terminal End, Rubber, Black, Battery Disconnect Switch, Pair</t>
  </si>
  <si>
    <t xml:space="preserve">https://www.summitracing.com/parts/AAF-ALL76153</t>
  </si>
  <si>
    <t xml:space="preserve">Terminal End, Rubber, Red, Battery Disconnect Switch, Pair</t>
  </si>
  <si>
    <t xml:space="preserve">https://www.summitracing.com/parts/AAF-ALL76152</t>
  </si>
  <si>
    <t xml:space="preserve">Battery Box, Aluminum, Satin, Sealed, 13 1/2 in. Length x 9 1/2 in. Width, 10 in. Height, Each</t>
  </si>
  <si>
    <t xml:space="preserve">https://www.summitracing.com/parts/TAY-48100</t>
  </si>
  <si>
    <t xml:space="preserve">Battery Disconnect Switch Bracket, Bolt-on, Aluminum, Black Anodized, Each</t>
  </si>
  <si>
    <t xml:space="preserve">https://www.summitracing.com/parts/FLA-FR1007</t>
  </si>
  <si>
    <t xml:space="preserve">Battery Disconnect Switch, Manual, Rotary, 6-36 Voltage Compatibility, 175 amps Continuous Rating, Each</t>
  </si>
  <si>
    <t xml:space="preserve">https://www.summitracing.com/parts/LNG-45782</t>
  </si>
  <si>
    <t xml:space="preserve">Bulkhead Connectors, Plastic, Black, Red, Pair</t>
  </si>
  <si>
    <t xml:space="preserve">https://www.summitracing.com/parts/SUM-CSUMG1431</t>
  </si>
  <si>
    <t xml:space="preserve">10/29/2019</t>
  </si>
  <si>
    <t xml:space="preserve">Dorman 960-107 5/16"-18 x 3/4" 'Grade 8' Flanged Hex Head Cap Screw</t>
  </si>
  <si>
    <t xml:space="preserve">11/30/2019</t>
  </si>
  <si>
    <t xml:space="preserve">Seals-It GS10034 Firewall Grommet-4an</t>
  </si>
  <si>
    <t xml:space="preserve">12/1/2019</t>
  </si>
  <si>
    <t xml:space="preserve">3/8" Red Remote Battery Terminal Feed Thru</t>
  </si>
  <si>
    <t xml:space="preserve">Pioneer TSW126M 12" Subwoofer with IMPP Cone</t>
  </si>
  <si>
    <t xml:space="preserve">02/22/2020</t>
  </si>
  <si>
    <t xml:space="preserve">Subwoofer box</t>
  </si>
  <si>
    <t xml:space="preserve">7/7/2020</t>
  </si>
  <si>
    <t xml:space="preserve">Innovate Motorsports 3851 MTX Digital Series Dual Function Vacuum/Boost and Shift Light Gauge Kit</t>
  </si>
  <si>
    <t xml:space="preserve">7/10/2020</t>
  </si>
  <si>
    <t xml:space="preserve">AUTO METER 2238 Black Aluminum Gauge Panel</t>
  </si>
  <si>
    <t xml:space="preserve">2 of Molex Micro-Fit 3.0 dual row (4 Circuits) Male &amp; Female receptacle plug, w/Terminal sockets, ( Pack of 5 Set)</t>
  </si>
  <si>
    <t xml:space="preserve">Innovate Motorsports 3913 MTX-D Oil Pressure/Tempgauge Kit Dual Function, 1 Pack</t>
  </si>
  <si>
    <t xml:space="preserve">7/13/2020</t>
  </si>
  <si>
    <t xml:space="preserve">Throttle Position Sensor Kit - 4150 Holley Carbs</t>
  </si>
  <si>
    <t xml:space="preserve">Mag Daddy Fasteners 62411-5</t>
  </si>
  <si>
    <t xml:space="preserve">12/25/2020</t>
  </si>
  <si>
    <t xml:space="preserve">Tunai Firefly LDAC USB </t>
  </si>
  <si>
    <t xml:space="preserve">9/7/2021</t>
  </si>
  <si>
    <t xml:space="preserve">DC converter 12V 5V</t>
  </si>
  <si>
    <t xml:space="preserve">Interior (16 items)</t>
  </si>
  <si>
    <t xml:space="preserve">Sparco 4p 2 inch belt</t>
  </si>
  <si>
    <t xml:space="preserve">Interior</t>
  </si>
  <si>
    <t xml:space="preserve">https://www.summitracing.com/parts/sro-04604bvnr</t>
  </si>
  <si>
    <t xml:space="preserve">Seat Belt Mounting Hardware, Three Point Retractable, Kit</t>
  </si>
  <si>
    <t xml:space="preserve">http://www.summitracing.com/parts/AAF-ALL98121</t>
  </si>
  <si>
    <t xml:space="preserve">SEAT BELT BOLT KIT</t>
  </si>
  <si>
    <t xml:space="preserve">http://www.summitracing.com/parts/OER-R560</t>
  </si>
  <si>
    <t xml:space="preserve">Seat belt installation kit</t>
  </si>
  <si>
    <t xml:space="preserve">https://www.summitracing.com/parts/aaf-all98121</t>
  </si>
  <si>
    <t xml:space="preserve">Seat belt bolt kit</t>
  </si>
  <si>
    <t xml:space="preserve">https://www.summitracing.com/parts/oer-r560</t>
  </si>
  <si>
    <t xml:space="preserve">10/24/2017</t>
  </si>
  <si>
    <t xml:space="preserve">Jegs 90 degree sealt belt brackets 2pk</t>
  </si>
  <si>
    <t xml:space="preserve">https://www.amazon.com/gp/product/B0084ZKUU8/ref=od_aui_detailpages00?ie=UTF8&amp;psc=1</t>
  </si>
  <si>
    <t xml:space="preserve">12/11/2019</t>
  </si>
  <si>
    <t xml:space="preserve">Cobra Slider kit C SUBFR07EL x 2</t>
  </si>
  <si>
    <t xml:space="preserve">Cobra Classic CS w/HR&amp;LapSlot VYN - C CCS-V-BK x 2</t>
  </si>
  <si>
    <t xml:space="preserve">Cobra Narrow slider handle - C SUBFR08EL x2</t>
  </si>
  <si>
    <t xml:space="preserve">IBX-X1 Nova Bucket Seat Brackets Conversion Kit OEM</t>
  </si>
  <si>
    <t xml:space="preserve">8/7/2020</t>
  </si>
  <si>
    <t xml:space="preserve">Steel for Seat brackets </t>
  </si>
  <si>
    <t xml:space="preserve">09/08/2023</t>
  </si>
  <si>
    <t xml:space="preserve">68-72 INNER MIRROR BRACKET</t>
  </si>
  <si>
    <t xml:space="preserve">09/10/2023</t>
  </si>
  <si>
    <t xml:space="preserve">52-76 GM RRVW MIRROR MTG SCREW</t>
  </si>
  <si>
    <t xml:space="preserve">09/22/2023</t>
  </si>
  <si>
    <t xml:space="preserve">7743520 68-74 INNER DOOR HANDLE-RH        </t>
  </si>
  <si>
    <t xml:space="preserve">7743521 68-74 INNER DOOR HANDLE-LH </t>
  </si>
  <si>
    <t xml:space="preserve">Suspension (5 items)</t>
  </si>
  <si>
    <t xml:space="preserve">5/14/2008</t>
  </si>
  <si>
    <t xml:space="preserve">2 x Upper balljoint 10195</t>
  </si>
  <si>
    <t xml:space="preserve">Suspension</t>
  </si>
  <si>
    <t xml:space="preserve">TVS Package (Springs, Bilstein hps 1000 shocks, swaybars, tie rod sleeves.</t>
  </si>
  <si>
    <t xml:space="preserve">(Springs, Shocks, Sway bars, Tie rod sleeves)</t>
  </si>
  <si>
    <t xml:space="preserve">Suspension Spacer x 2</t>
  </si>
  <si>
    <t xml:space="preserve">https://www.summitracing.com/parts/gls-1103</t>
  </si>
  <si>
    <t xml:space="preserve">Nuts, Rear Spring Front Bracket, Steel, Black, Buick, Chevy, Oldsmobile, Pontiac, Set of 6</t>
  </si>
  <si>
    <t xml:space="preserve">http://www.summitracing.com/parts/OER-K3613</t>
  </si>
  <si>
    <t xml:space="preserve">10/18/2017</t>
  </si>
  <si>
    <t xml:space="preserve">Lower shock mounts bolts front GM</t>
  </si>
  <si>
    <t xml:space="preserve">https://www.amazon.com/gp/product/B06XP2W767/ref=od_aui_detailpages00?ie=UTF8&amp;psc=1</t>
  </si>
  <si>
    <t xml:space="preserve">Cooling (8 items)</t>
  </si>
  <si>
    <t xml:space="preserve">Water neck</t>
  </si>
  <si>
    <t xml:space="preserve">Cooling</t>
  </si>
  <si>
    <t xml:space="preserve">SUM-G3800</t>
  </si>
  <si>
    <t xml:space="preserve">Radiator Aluminum</t>
  </si>
  <si>
    <t xml:space="preserve">SUM-380325</t>
  </si>
  <si>
    <t xml:space="preserve">2 Feet heater hose</t>
  </si>
  <si>
    <t xml:space="preserve">Heater Hose, Rubber, Black, 3/4 in. I.D., 6 ft. Length, Each</t>
  </si>
  <si>
    <t xml:space="preserve">http://www.summitracing.com/parts/SUM-230504-6</t>
  </si>
  <si>
    <t xml:space="preserve">3/20/2019</t>
  </si>
  <si>
    <t xml:space="preserve">Radiator and Fan, Exact-Fit, Aluminum, Crossflow, 2-Row, Dual Fan, Buick, Chevy, Oldsmobile, Pontiac, Kit</t>
  </si>
  <si>
    <t xml:space="preserve">https://www.summitracing.com/parts/GRI-CU-00187</t>
  </si>
  <si>
    <t xml:space="preserve">Water Pump Pulley Bolts, Countersunk Socket Head, 5/16 in.-24, Black, Chevy with Aluminum Pulley, Set of 4</t>
  </si>
  <si>
    <t xml:space="preserve">https://www.summitracing.com/parts/SPE-4692</t>
  </si>
  <si>
    <t xml:space="preserve">Radiator Hose, Molded, Rubber, Black, Each</t>
  </si>
  <si>
    <t xml:space="preserve">https://www.summitracing.com/parts/DAC-70492</t>
  </si>
  <si>
    <t xml:space="preserve">https://www.summitracing.com/parts/DAC-70537</t>
  </si>
  <si>
    <t xml:space="preserve">Brakes (12 items)</t>
  </si>
  <si>
    <t xml:space="preserve">4/27/2008</t>
  </si>
  <si>
    <t xml:space="preserve">Brake check valve</t>
  </si>
  <si>
    <t xml:space="preserve">Brakes</t>
  </si>
  <si>
    <t xml:space="preserve">20089 Brake bleeder</t>
  </si>
  <si>
    <t xml:space="preserve">05/06/2010</t>
  </si>
  <si>
    <t xml:space="preserve">Brake Linkes and Brake nipples</t>
  </si>
  <si>
    <t xml:space="preserve">Power brake check valve</t>
  </si>
  <si>
    <t xml:space="preserve">https://www.summitracing.com/parts/rnb-80189</t>
  </si>
  <si>
    <t xml:space="preserve">Fitting, Vapor Guard Tee Adapter, Swivel, 3/8 in. Hose Barb, Aluminum, Black Anodized, Each</t>
  </si>
  <si>
    <t xml:space="preserve">http://www.summitracing.com/parts/EAR-782406ERL</t>
  </si>
  <si>
    <t xml:space="preserve">Tee Fitting, Plastic, Black, 3/8 in. Hose Barb, Each</t>
  </si>
  <si>
    <t xml:space="preserve">http://www.summitracing.com/parts/RNB-47115</t>
  </si>
  <si>
    <t xml:space="preserve">Brake line kit (3 pieces of hose)</t>
  </si>
  <si>
    <t xml:space="preserve">https://www.summitracing.com/parts/sum-220385</t>
  </si>
  <si>
    <t xml:space="preserve">HydraBoost Kit CLP-6474hbk-sb</t>
  </si>
  <si>
    <t xml:space="preserve">https://www.summitracing.com/parts/clp-6474hbk-sb</t>
  </si>
  <si>
    <t xml:space="preserve">GM Brake calipers (Driver and Passenger)</t>
  </si>
  <si>
    <t xml:space="preserve">BHH 18-4039 &amp; BHH 18-4040</t>
  </si>
  <si>
    <t xml:space="preserve">11/2/2017</t>
  </si>
  <si>
    <t xml:space="preserve">Brake line kit (front stainless steel)</t>
  </si>
  <si>
    <t xml:space="preserve">https://www.summitracing.com/parts/clp-6769lkss</t>
  </si>
  <si>
    <t xml:space="preserve">7/16-24 Brake line union</t>
  </si>
  <si>
    <t xml:space="preserve">http://www.summitracing.com/parts/KTI-04030</t>
  </si>
  <si>
    <t xml:space="preserve">Brake Line Adapter, Straight, Brass, 3/8-24 in. Inverted Flare Male, 7/16-24 in. Inverted Flare Female, Each</t>
  </si>
  <si>
    <t xml:space="preserve">http://www.summitracing.com/parts/RNB-785-434</t>
  </si>
  <si>
    <t xml:space="preserve">Steering (14 items)</t>
  </si>
  <si>
    <t xml:space="preserve">Control arm bushing kit</t>
  </si>
  <si>
    <t xml:space="preserve">Steering</t>
  </si>
  <si>
    <t xml:space="preserve">ENS-3-3101G</t>
  </si>
  <si>
    <t xml:space="preserve">Rubber disc rag joint</t>
  </si>
  <si>
    <t xml:space="preserve">BRG-000941</t>
  </si>
  <si>
    <t xml:space="preserve">Control arm bushing set</t>
  </si>
  <si>
    <t xml:space="preserve">Power Steering Filter</t>
  </si>
  <si>
    <t xml:space="preserve">https://www.summitracing.com/parts/aaz-20-0038f</t>
  </si>
  <si>
    <t xml:space="preserve">Heat Shield - Fire Shield 3/4 inch</t>
  </si>
  <si>
    <t xml:space="preserve">PSC Pro Touring Steering Boxes SK601 </t>
  </si>
  <si>
    <t xml:space="preserve">https://www.summitracing.com/parts/PFN-SK601</t>
  </si>
  <si>
    <t xml:space="preserve">PSC Power Steering Pump PFN-SP1306FC</t>
  </si>
  <si>
    <t xml:space="preserve">https://www.summitracing.com/parts/PFN-SP1306FC</t>
  </si>
  <si>
    <t xml:space="preserve">Power Steering Pulley, V-Belt, 1-Groove, Steel, Black, Chevy, GMC, Oldsmobile, Pontiac, Each</t>
  </si>
  <si>
    <t xml:space="preserve">http://www.summitracing.com/parts/RNB-300-122</t>
  </si>
  <si>
    <t xml:space="preserve">Fitting, Adapter, Straight, Steel, Zinc Finish, -6 AN Male AN, 16mm x 1.5 O-ring Male Metric O-ring, Each</t>
  </si>
  <si>
    <t xml:space="preserve">http://www.summitracing.com/parts/PFN-SF02</t>
  </si>
  <si>
    <t xml:space="preserve">Fitting, Y-Block, Aluminum, Black Anodized, -6 AN Male Inlet, -6 AN Male Outlets, Each</t>
  </si>
  <si>
    <t xml:space="preserve">http://www.summitracing.com/parts/SUM-220107B</t>
  </si>
  <si>
    <t xml:space="preserve">Fitting, Hose End, Straight, -6 AN Female Threads, Aluminum, Black Anodized, Eac</t>
  </si>
  <si>
    <t xml:space="preserve">http://www.summitracing.com/parts/VPE-22006</t>
  </si>
  <si>
    <t xml:space="preserve">Fitting, Hose End, Power Steering, Reusable, Straight, -6 AN Hose to Female -6 AN, Steel, Zinc, Each</t>
  </si>
  <si>
    <t xml:space="preserve">http://www.summitracing.com/parts/FRA-250106</t>
  </si>
  <si>
    <t xml:space="preserve">Fitting, Hose End, Power Steering, Reusable, 45 Degree, -6 AN Hose to Female -6 AN, Steel, Zinc, Each</t>
  </si>
  <si>
    <t xml:space="preserve">http://www.summitracing.com/parts/FRA-254506</t>
  </si>
  <si>
    <t xml:space="preserve">Exhaust (7 items)</t>
  </si>
  <si>
    <t xml:space="preserve">Headers</t>
  </si>
  <si>
    <t xml:space="preserve">Exhaust</t>
  </si>
  <si>
    <t xml:space="preserve">SUM-G9010</t>
  </si>
  <si>
    <t xml:space="preserve">Cutout wiring kit</t>
  </si>
  <si>
    <t xml:space="preserve">SUM-670152 </t>
  </si>
  <si>
    <t xml:space="preserve">Exhaust cutout 3"</t>
  </si>
  <si>
    <t xml:space="preserve">SUM-670150  </t>
  </si>
  <si>
    <t xml:space="preserve">2 x Exhaust cutout 2-1/2</t>
  </si>
  <si>
    <t xml:space="preserve">SUM-670136</t>
  </si>
  <si>
    <t xml:space="preserve">Headers, 4-1 One-piece, Steel, Ceramic Coated, 1 7/8 in. Primary, 3.5 in. Collector, Chevy, Big Block, Pair dou-d328</t>
  </si>
  <si>
    <t xml:space="preserve">http://www.summitracing.com/parts/DOU-D328</t>
  </si>
  <si>
    <t xml:space="preserve">Exhaust Tubing, Mandrel L-Bend, 45 Degree, Steel, Natural, 2.50 in. Diameter, 2.50 in. Radius, 16-Gauge, Each</t>
  </si>
  <si>
    <t xml:space="preserve">http://www.summitracing.com/parts/SUM-670175</t>
  </si>
  <si>
    <t xml:space="preserve">Exhaust Clamp, Band-Style, Butt Joint, 2.50 in. Diameter, 304 Stainless Steel, Polished, Each</t>
  </si>
  <si>
    <t xml:space="preserve">http://www.summitracing.com/parts/SUM-693250-1</t>
  </si>
  <si>
    <t xml:space="preserve">Wheels (4 items)</t>
  </si>
  <si>
    <t xml:space="preserve">11/21/2008</t>
  </si>
  <si>
    <t xml:space="preserve">4 GM 15x7's w/Black powder coating</t>
  </si>
  <si>
    <t xml:space="preserve">Wheels</t>
  </si>
  <si>
    <t xml:space="preserve">12/3/2008</t>
  </si>
  <si>
    <t xml:space="preserve">2 x BFG T/A Radial p225/70r-15</t>
  </si>
  <si>
    <t xml:space="preserve">12/5/2008</t>
  </si>
  <si>
    <t xml:space="preserve">2 x BFG T/A Radial p235/60r-15</t>
  </si>
  <si>
    <t xml:space="preserve">Lug Nuts, Conical Seat, Bulge, 7/16-20 RH in., Open End, Steel, Chrome, Set of 4</t>
  </si>
  <si>
    <t xml:space="preserve">http://www.summitracing.com/parts/RNB-711-106</t>
  </si>
  <si>
    <t xml:space="preserve">Fuel (29 items)</t>
  </si>
  <si>
    <t xml:space="preserve">3/8 Fuel hose</t>
  </si>
  <si>
    <t xml:space="preserve">Fuel</t>
  </si>
  <si>
    <t xml:space="preserve">Fuel Line fitting 43075</t>
  </si>
  <si>
    <t xml:space="preserve">Mini hose clamps</t>
  </si>
  <si>
    <t xml:space="preserve">3033 Fuel filter</t>
  </si>
  <si>
    <t xml:space="preserve">5800 Fuel stabilizer</t>
  </si>
  <si>
    <t xml:space="preserve">110 gph fuel pump bbc</t>
  </si>
  <si>
    <t xml:space="preserve">SUM-250022-1</t>
  </si>
  <si>
    <t xml:space="preserve">Holly 4150 dual feed 8 AN</t>
  </si>
  <si>
    <t xml:space="preserve">SUM-220100B </t>
  </si>
  <si>
    <t xml:space="preserve">2 x 8 AN straight coupling</t>
  </si>
  <si>
    <t xml:space="preserve">SUM-220890B  </t>
  </si>
  <si>
    <t xml:space="preserve">Billet black fuel filter 8 AN</t>
  </si>
  <si>
    <t xml:space="preserve">SUM-230106 </t>
  </si>
  <si>
    <t xml:space="preserve">SUM-230803 </t>
  </si>
  <si>
    <t xml:space="preserve">Fuel tank kit</t>
  </si>
  <si>
    <t xml:space="preserve">http://www.ss396.com/nova/XTR-46AK.html</t>
  </si>
  <si>
    <t xml:space="preserve">Fuel tank mounting kit</t>
  </si>
  <si>
    <t xml:space="preserve">http://www.ss396.com/nova/BCI-4753.html</t>
  </si>
  <si>
    <t xml:space="preserve">Fuel tank import</t>
  </si>
  <si>
    <t xml:space="preserve">http://www.ss396.com/nova/XTR-46A.html</t>
  </si>
  <si>
    <t xml:space="preserve">Fuel tank insulation kit</t>
  </si>
  <si>
    <t xml:space="preserve">http://www.ss396.com/nova/NH-4381.html</t>
  </si>
  <si>
    <t xml:space="preserve">Fuel tank lockring &amp; gasket for GM</t>
  </si>
  <si>
    <t xml:space="preserve">http://www.ss396.com/nova/XLR-937.html</t>
  </si>
  <si>
    <t xml:space="preserve">Hose Mount, Clamp, Cushioned, Steel, Cadmium Plated, .625 in. O.D. Hose, Set of 10</t>
  </si>
  <si>
    <t xml:space="preserve">http://www.summitracing.com/parts/SUM-G1883</t>
  </si>
  <si>
    <t xml:space="preserve">Fuel tank straps</t>
  </si>
  <si>
    <t xml:space="preserve">http://www.ss396.com/nova/XT-ST91.html</t>
  </si>
  <si>
    <t xml:space="preserve">10/11/2017</t>
  </si>
  <si>
    <t xml:space="preserve">Fuel Filter, Inline Mount, Billet Aluminum, Black, 100 Microns, -8 AN Inlet/Outlet, Each</t>
  </si>
  <si>
    <t xml:space="preserve">http://www.summitracing.com/parts/SUM-230118-B</t>
  </si>
  <si>
    <t xml:space="preserve">2 x Fitting, Hose End, 45 Degree, -8 AN Hose to Female -8 AN, Aluminum, Black Anodized, Each</t>
  </si>
  <si>
    <t xml:space="preserve">http://www.summitracing.com/parts/SUM-220886B</t>
  </si>
  <si>
    <t xml:space="preserve">Fitting, Hose End, 90 Degree, -8 AN Hose to Female -8 AN, Aluminum, Black Anodized, Each</t>
  </si>
  <si>
    <t xml:space="preserve">http://www.summitracing.com/parts/SUM-220887B</t>
  </si>
  <si>
    <t xml:space="preserve">3 x Fitting, Hose End, Straight, -8 AN Hose to Female -8 AN, Aluminum, Black Anodized, Each</t>
  </si>
  <si>
    <t xml:space="preserve">http://www.summitracing.com/parts/SUM-220890B</t>
  </si>
  <si>
    <t xml:space="preserve">Hose, Braided Stainless Steel, -8 AN, 15 ft. Length, Each</t>
  </si>
  <si>
    <t xml:space="preserve">http://www.summitracing.com/parts/SUM-230815</t>
  </si>
  <si>
    <t xml:space="preserve">Fitting, Coupler, Straight, Male -8 AN to Male -8 AN, Aluminum, Black Anodized, Each</t>
  </si>
  <si>
    <t xml:space="preserve">http://www.summitracing.com/parts/SUM-220832B</t>
  </si>
  <si>
    <t xml:space="preserve">10/12/2017</t>
  </si>
  <si>
    <t xml:space="preserve">-8AN 100 micron fuel fitler</t>
  </si>
  <si>
    <t xml:space="preserve">https://www.summitracing.com/parts/sum-230118-b</t>
  </si>
  <si>
    <t xml:space="preserve">-8AN Straight Coupler</t>
  </si>
  <si>
    <t xml:space="preserve">https://www.summitracing.com/parts/sum-220832b</t>
  </si>
  <si>
    <t xml:space="preserve">3 X -8AN Straight fitting</t>
  </si>
  <si>
    <t xml:space="preserve">https://www.summitracing.com/parts/sum-220890b</t>
  </si>
  <si>
    <t xml:space="preserve">15 ft Stainless steel braided hose</t>
  </si>
  <si>
    <t xml:space="preserve">https://www.summitracing.com/parts/sum-230815</t>
  </si>
  <si>
    <t xml:space="preserve">2 X -8AN 45 degree fitting</t>
  </si>
  <si>
    <t xml:space="preserve">https://www.summitracing.com/parts/sum-220886b</t>
  </si>
  <si>
    <t xml:space="preserve">3 X -8AN 90 degree fitting</t>
  </si>
  <si>
    <t xml:space="preserve">https://www.summitracing.com/parts/sum-220887b</t>
  </si>
  <si>
    <t xml:space="preserve">Tools (12 items)</t>
  </si>
  <si>
    <t xml:space="preserve">Timing light</t>
  </si>
  <si>
    <t xml:space="preserve">Tools</t>
  </si>
  <si>
    <t xml:space="preserve">SUM-G1059</t>
  </si>
  <si>
    <t xml:space="preserve">Crank socket BBC</t>
  </si>
  <si>
    <t xml:space="preserve">SUM-G1061</t>
  </si>
  <si>
    <t xml:space="preserve">Cam degree kit</t>
  </si>
  <si>
    <t xml:space="preserve">SUM-G1056</t>
  </si>
  <si>
    <t xml:space="preserve">Tappet gauge</t>
  </si>
  <si>
    <t xml:space="preserve">WMR-w130c</t>
  </si>
  <si>
    <t xml:space="preserve">Plastic gauge</t>
  </si>
  <si>
    <t xml:space="preserve">SUM-PG1 </t>
  </si>
  <si>
    <t xml:space="preserve">Primer tool</t>
  </si>
  <si>
    <t xml:space="preserve">MOR-62200</t>
  </si>
  <si>
    <t xml:space="preserve">Universal ring filer</t>
  </si>
  <si>
    <t xml:space="preserve">SUM-906795</t>
  </si>
  <si>
    <t xml:space="preserve">Piston install tool</t>
  </si>
  <si>
    <t xml:space="preserve">Tubing cutter</t>
  </si>
  <si>
    <t xml:space="preserve">SUM-900500 </t>
  </si>
  <si>
    <t xml:space="preserve">Sparkplug socket</t>
  </si>
  <si>
    <t xml:space="preserve">https://www.summitracing.com/parts/shc-934671</t>
  </si>
  <si>
    <t xml:space="preserve">-8AN Hex Wrench</t>
  </si>
  <si>
    <t xml:space="preserve">https://www.summitracing.com/parts/sum-900108</t>
  </si>
  <si>
    <t xml:space="preserve">10/25/2017</t>
  </si>
  <si>
    <t xml:space="preserve">Eastwood Digital Electronic Torque Wrench 3/8in Drive</t>
  </si>
  <si>
    <t xml:space="preserve">SKU 13630</t>
  </si>
  <si>
    <t xml:space="preserve">Chemicals (24 items)</t>
  </si>
  <si>
    <t xml:space="preserve">8/1/2007</t>
  </si>
  <si>
    <t xml:space="preserve">WD 40</t>
  </si>
  <si>
    <t xml:space="preserve">Chemicals</t>
  </si>
  <si>
    <t xml:space="preserve">Super sealer</t>
  </si>
  <si>
    <t xml:space="preserve">Radiator leaks stopper</t>
  </si>
  <si>
    <t xml:space="preserve">Engine degreaser</t>
  </si>
  <si>
    <t xml:space="preserve">a5-101 6a preston</t>
  </si>
  <si>
    <t xml:space="preserve">Anti freeze?</t>
  </si>
  <si>
    <t xml:space="preserve">af-2000 prestone</t>
  </si>
  <si>
    <t xml:space="preserve">Anti freeze</t>
  </si>
  <si>
    <t xml:space="preserve">a5-101 6a Prestone</t>
  </si>
  <si>
    <t xml:space="preserve">Eb1 Engine gunk brite</t>
  </si>
  <si>
    <t xml:space="preserve">984310 Polishing</t>
  </si>
  <si>
    <t xml:space="preserve">Permapoxy</t>
  </si>
  <si>
    <t xml:space="preserve">Battery protection grease</t>
  </si>
  <si>
    <t xml:space="preserve">8 oz Protectant F21</t>
  </si>
  <si>
    <t xml:space="preserve">Gp Lacquer black</t>
  </si>
  <si>
    <t xml:space="preserve">3/5/2008</t>
  </si>
  <si>
    <t xml:space="preserve">Electrical tape</t>
  </si>
  <si>
    <t xml:space="preserve">Glass polishing kit</t>
  </si>
  <si>
    <t xml:space="preserve">SUM-905030</t>
  </si>
  <si>
    <t xml:space="preserve">Loctite RTV black silicone</t>
  </si>
  <si>
    <t xml:space="preserve">LCT-40464</t>
  </si>
  <si>
    <t xml:space="preserve">Loctite 242 blue</t>
  </si>
  <si>
    <t xml:space="preserve">LCT-37418</t>
  </si>
  <si>
    <t xml:space="preserve">Loctite 271 red</t>
  </si>
  <si>
    <t xml:space="preserve">LCT-37421</t>
  </si>
  <si>
    <t xml:space="preserve">Loctite RTV Blue gasket masker</t>
  </si>
  <si>
    <t xml:space="preserve">LCT-37465</t>
  </si>
  <si>
    <t xml:space="preserve">Silicone</t>
  </si>
  <si>
    <t xml:space="preserve">Cam and lifter lube</t>
  </si>
  <si>
    <t xml:space="preserve">SLP-55-400</t>
  </si>
  <si>
    <t xml:space="preserve">Moly lube</t>
  </si>
  <si>
    <t xml:space="preserve">MAN-40177 </t>
  </si>
  <si>
    <t xml:space="preserve">Eastwood Brake Gray Aerosol</t>
  </si>
  <si>
    <t xml:space="preserve">SKU 11756Z</t>
  </si>
  <si>
    <t xml:space="preserve">Eastwood Spray Gray Detail Paint Aerosol</t>
  </si>
  <si>
    <t xml:space="preserve">SKU 10032Z</t>
  </si>
  <si>
    <t xml:space="preserve">Exterior (2 items)</t>
  </si>
  <si>
    <t xml:space="preserve">66-72 DR MIRR W/BOWTIE CONVEX</t>
  </si>
  <si>
    <t xml:space="preserve">Exterior</t>
  </si>
  <si>
    <t xml:space="preserve">68-79 NOVA 2DR OUTR DR HNDL KT</t>
  </si>
  <si>
    <t xml:space="preserve">GRAND TOTAL</t>
  </si>
  <si>
    <t xml:space="preserve">Cost Breakdown by Category</t>
  </si>
  <si>
    <t xml:space="preserve">Items</t>
  </si>
  <si>
    <t xml:space="preserve">% of Total</t>
  </si>
  <si>
    <t xml:space="preserve">TOTAL</t>
  </si>
  <si>
    <t xml:space="preserve">Breakdown by Type</t>
  </si>
  <si>
    <t xml:space="preserve">Build Timeline (2001–2023)</t>
  </si>
  <si>
    <t xml:space="preserve">Year</t>
  </si>
  <si>
    <t xml:space="preserve">Spend (USD)</t>
  </si>
  <si>
    <t xml:space="preserve">Key Milestones</t>
  </si>
  <si>
    <t xml:space="preserve">V-belt (inherited car)</t>
  </si>
  <si>
    <t xml:space="preserve">Car purchase, paint job, initial parts</t>
  </si>
  <si>
    <t xml:space="preserve">Major build year: TKO 600 trans, rear end build (3.73 Eaton posi), MSD ignition, Edelbrock top end kit #2095, Ram clutch, radiator, stereo, wheels/tires, gauges</t>
  </si>
  <si>
    <t xml:space="preserve">Hood paint, import/shipping to Sweden, registration</t>
  </si>
  <si>
    <t xml:space="preserve">Engine rebuild: SRP pistons, Eagle rods, Clevite bearings, ARP studs, machine work, Holley 850 carb, -8AN fuel system</t>
  </si>
  <si>
    <t xml:space="preserve">Generator/alternator</t>
  </si>
  <si>
    <t xml:space="preserve">Cam upgrade: Edelbrock Rollin' Thunder #2261 hydraulic roller, new lifters &amp; pushrods</t>
  </si>
  <si>
    <t xml:space="preserve">Timing cover, cam plate</t>
  </si>
  <si>
    <t xml:space="preserve">Major refresh: Doug's D328 headers, PSC steering box &amp; pump, -8AN fuel line redo, HydraBoost brakes, fuel tank replacement, suspension hardware, Innovate DLG-1 wideband gauge, throttle linkage</t>
  </si>
  <si>
    <t xml:space="preserve">Vacuum advance, belts, valve cover bolts, heater hose, battery disconnect</t>
  </si>
  <si>
    <t xml:space="preserve">Griffin radiator upgrade (aluminum crossflow dual fan), hoses, Cobra racing seats &amp; sliders, battery box &amp; disconnect</t>
  </si>
  <si>
    <t xml:space="preserve">Clutch rebuild (throwout bearing, fork, pivot ball, linkage), CVR Protorque starter, Innovate MTX gauges (boost/shift + oil press/temp), TPS kit, O2 bungs, Nova trim restoration, subwoofer</t>
  </si>
  <si>
    <t xml:space="preserve">Moroso air/oil separator, ARP starter bolts, DC converter</t>
  </si>
  <si>
    <t xml:space="preserve">Interior trim restoration (mirror, door handles)</t>
  </si>
  <si>
    <t xml:space="preserve">Build Phases</t>
  </si>
  <si>
    <t xml:space="preserve">Phase 1: Acquisition &amp; Initial Build</t>
  </si>
  <si>
    <t xml:space="preserve">2007–2008</t>
  </si>
  <si>
    <t xml:space="preserve">Car purchase, drivetrain swap (TKO 600, 3.73 rear), MSD ignition, Edelbrock top end, wheels/tires</t>
  </si>
  <si>
    <t xml:space="preserve">Phase 2: Engine Build</t>
  </si>
  <si>
    <t xml:space="preserve">2009–2010</t>
  </si>
  <si>
    <t xml:space="preserve">Full engine rebuild with forged internals, Holley 850 carb, -8AN fuel system, machine work</t>
  </si>
  <si>
    <t xml:space="preserve">Phase 3: Cam Upgrade</t>
  </si>
  <si>
    <t xml:space="preserve">2014</t>
  </si>
  <si>
    <t xml:space="preserve">Hydraulic roller cam swap (Edelbrock Rollin' Thunder #2261)</t>
  </si>
  <si>
    <t xml:space="preserve">Phase 4: Major Refresh</t>
  </si>
  <si>
    <t xml:space="preserve">2017–2019</t>
  </si>
  <si>
    <t xml:space="preserve">Headers, steering, brakes, fuel system redo, Griffin radiator, Cobra seats, Innovate gauges</t>
  </si>
  <si>
    <t xml:space="preserve">Phase 5: Refinement</t>
  </si>
  <si>
    <t xml:space="preserve">2020–2023</t>
  </si>
  <si>
    <t xml:space="preserve">Clutch rebuild, starter upgrade, datalogger sensors, interior restoration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</si>
</sst>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D9D9E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3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5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5" t="n">
        <f aca="false">SUM(E6:E44)</f>
        <v>23718</v>
      </c>
      <c r="F5" s="6"/>
    </row>
    <row r="6" customFormat="false" ht="15" hidden="false" customHeight="false" outlineLevel="0" collapsed="false">
      <c r="A6" s="7" t="s">
        <v>9</v>
      </c>
      <c r="B6" s="7" t="s">
        <v>10</v>
      </c>
      <c r="C6" s="7" t="s">
        <v>11</v>
      </c>
      <c r="D6" s="7" t="s">
        <v>12</v>
      </c>
      <c r="E6" s="8" t="n">
        <v>2000</v>
      </c>
      <c r="F6" s="7" t="s">
        <v>13</v>
      </c>
    </row>
    <row r="7" customFormat="false" ht="15" hidden="false" customHeight="false" outlineLevel="0" collapsed="false">
      <c r="A7" s="7" t="s">
        <v>14</v>
      </c>
      <c r="B7" s="7" t="s">
        <v>11</v>
      </c>
      <c r="C7" s="7" t="s">
        <v>11</v>
      </c>
      <c r="D7" s="7" t="s">
        <v>15</v>
      </c>
      <c r="E7" s="8" t="n">
        <v>11451</v>
      </c>
      <c r="F7" s="7"/>
    </row>
    <row r="8" customFormat="false" ht="15" hidden="false" customHeight="false" outlineLevel="0" collapsed="false">
      <c r="A8" s="7" t="s">
        <v>16</v>
      </c>
      <c r="B8" s="7" t="s">
        <v>17</v>
      </c>
      <c r="C8" s="7" t="s">
        <v>11</v>
      </c>
      <c r="D8" s="7" t="s">
        <v>18</v>
      </c>
      <c r="E8" s="8" t="n">
        <v>16</v>
      </c>
      <c r="F8" s="7" t="s">
        <v>19</v>
      </c>
    </row>
    <row r="9" customFormat="false" ht="15" hidden="false" customHeight="false" outlineLevel="0" collapsed="false">
      <c r="A9" s="7" t="s">
        <v>20</v>
      </c>
      <c r="B9" s="7" t="s">
        <v>21</v>
      </c>
      <c r="C9" s="7" t="s">
        <v>11</v>
      </c>
      <c r="D9" s="7" t="s">
        <v>22</v>
      </c>
      <c r="E9" s="8" t="n">
        <v>653</v>
      </c>
      <c r="F9" s="7"/>
    </row>
    <row r="10" customFormat="false" ht="15" hidden="false" customHeight="false" outlineLevel="0" collapsed="false">
      <c r="A10" s="7" t="s">
        <v>23</v>
      </c>
      <c r="B10" s="7" t="s">
        <v>24</v>
      </c>
      <c r="C10" s="7" t="s">
        <v>11</v>
      </c>
      <c r="D10" s="7" t="s">
        <v>12</v>
      </c>
      <c r="E10" s="8" t="n">
        <v>10</v>
      </c>
      <c r="F10" s="7"/>
    </row>
    <row r="11" customFormat="false" ht="15" hidden="false" customHeight="false" outlineLevel="0" collapsed="false">
      <c r="A11" s="7" t="s">
        <v>25</v>
      </c>
      <c r="B11" s="7" t="s">
        <v>21</v>
      </c>
      <c r="C11" s="7" t="s">
        <v>11</v>
      </c>
      <c r="D11" s="7" t="s">
        <v>22</v>
      </c>
      <c r="E11" s="8" t="n">
        <v>194</v>
      </c>
      <c r="F11" s="7"/>
    </row>
    <row r="12" customFormat="false" ht="15" hidden="false" customHeight="false" outlineLevel="0" collapsed="false">
      <c r="A12" s="7" t="s">
        <v>25</v>
      </c>
      <c r="B12" s="7" t="s">
        <v>21</v>
      </c>
      <c r="C12" s="7" t="s">
        <v>11</v>
      </c>
      <c r="D12" s="7"/>
      <c r="E12" s="8" t="n">
        <v>0</v>
      </c>
      <c r="F12" s="7"/>
    </row>
    <row r="13" customFormat="false" ht="15" hidden="false" customHeight="false" outlineLevel="0" collapsed="false">
      <c r="A13" s="7" t="s">
        <v>26</v>
      </c>
      <c r="B13" s="7" t="s">
        <v>27</v>
      </c>
      <c r="C13" s="7" t="s">
        <v>11</v>
      </c>
      <c r="D13" s="7" t="s">
        <v>12</v>
      </c>
      <c r="E13" s="8" t="n">
        <v>170</v>
      </c>
      <c r="F13" s="7" t="s">
        <v>28</v>
      </c>
    </row>
    <row r="14" customFormat="false" ht="15" hidden="false" customHeight="false" outlineLevel="0" collapsed="false">
      <c r="A14" s="7" t="s">
        <v>26</v>
      </c>
      <c r="B14" s="7" t="s">
        <v>29</v>
      </c>
      <c r="C14" s="7" t="s">
        <v>11</v>
      </c>
      <c r="D14" s="7" t="s">
        <v>12</v>
      </c>
      <c r="E14" s="8" t="n">
        <v>55</v>
      </c>
      <c r="F14" s="7" t="s">
        <v>30</v>
      </c>
    </row>
    <row r="15" customFormat="false" ht="15" hidden="false" customHeight="false" outlineLevel="0" collapsed="false">
      <c r="A15" s="7" t="s">
        <v>31</v>
      </c>
      <c r="B15" s="7" t="s">
        <v>21</v>
      </c>
      <c r="C15" s="7" t="s">
        <v>11</v>
      </c>
      <c r="D15" s="7" t="s">
        <v>22</v>
      </c>
      <c r="E15" s="8" t="n">
        <v>496</v>
      </c>
      <c r="F15" s="7"/>
    </row>
    <row r="16" customFormat="false" ht="15" hidden="false" customHeight="false" outlineLevel="0" collapsed="false">
      <c r="A16" s="7" t="s">
        <v>32</v>
      </c>
      <c r="B16" s="7" t="s">
        <v>21</v>
      </c>
      <c r="C16" s="7" t="s">
        <v>11</v>
      </c>
      <c r="D16" s="7" t="s">
        <v>22</v>
      </c>
      <c r="E16" s="8" t="n">
        <v>362</v>
      </c>
      <c r="F16" s="7"/>
    </row>
    <row r="17" customFormat="false" ht="15" hidden="false" customHeight="false" outlineLevel="0" collapsed="false">
      <c r="A17" s="7" t="s">
        <v>33</v>
      </c>
      <c r="B17" s="7" t="s">
        <v>34</v>
      </c>
      <c r="C17" s="7" t="s">
        <v>11</v>
      </c>
      <c r="D17" s="7" t="s">
        <v>12</v>
      </c>
      <c r="E17" s="8" t="n">
        <v>251</v>
      </c>
      <c r="F17" s="7"/>
    </row>
    <row r="18" customFormat="false" ht="15" hidden="false" customHeight="false" outlineLevel="0" collapsed="false">
      <c r="A18" s="7" t="s">
        <v>35</v>
      </c>
      <c r="B18" s="7" t="s">
        <v>36</v>
      </c>
      <c r="C18" s="7" t="s">
        <v>11</v>
      </c>
      <c r="D18" s="7" t="s">
        <v>37</v>
      </c>
      <c r="E18" s="8" t="n">
        <v>1895</v>
      </c>
      <c r="F18" s="7" t="s">
        <v>38</v>
      </c>
    </row>
    <row r="19" customFormat="false" ht="15" hidden="false" customHeight="false" outlineLevel="0" collapsed="false">
      <c r="A19" s="7" t="s">
        <v>39</v>
      </c>
      <c r="B19" s="7" t="s">
        <v>40</v>
      </c>
      <c r="C19" s="7" t="s">
        <v>11</v>
      </c>
      <c r="D19" s="7" t="s">
        <v>37</v>
      </c>
      <c r="E19" s="8" t="n">
        <v>540</v>
      </c>
      <c r="F19" s="7"/>
    </row>
    <row r="20" customFormat="false" ht="15" hidden="false" customHeight="false" outlineLevel="0" collapsed="false">
      <c r="A20" s="7" t="s">
        <v>41</v>
      </c>
      <c r="B20" s="7" t="s">
        <v>42</v>
      </c>
      <c r="C20" s="7" t="s">
        <v>11</v>
      </c>
      <c r="D20" s="7" t="s">
        <v>37</v>
      </c>
      <c r="E20" s="8" t="n">
        <v>88</v>
      </c>
      <c r="F20" s="7"/>
    </row>
    <row r="21" customFormat="false" ht="15" hidden="false" customHeight="false" outlineLevel="0" collapsed="false">
      <c r="A21" s="7" t="s">
        <v>41</v>
      </c>
      <c r="B21" s="7" t="s">
        <v>43</v>
      </c>
      <c r="C21" s="7" t="s">
        <v>11</v>
      </c>
      <c r="D21" s="7" t="s">
        <v>37</v>
      </c>
      <c r="E21" s="8" t="n">
        <v>188</v>
      </c>
      <c r="F21" s="7"/>
    </row>
    <row r="22" customFormat="false" ht="15" hidden="false" customHeight="false" outlineLevel="0" collapsed="false">
      <c r="A22" s="7" t="s">
        <v>41</v>
      </c>
      <c r="B22" s="7" t="s">
        <v>44</v>
      </c>
      <c r="C22" s="7" t="s">
        <v>11</v>
      </c>
      <c r="D22" s="7" t="s">
        <v>37</v>
      </c>
      <c r="E22" s="8" t="n">
        <v>44</v>
      </c>
      <c r="F22" s="7"/>
    </row>
    <row r="23" customFormat="false" ht="15" hidden="false" customHeight="false" outlineLevel="0" collapsed="false">
      <c r="A23" s="7" t="s">
        <v>45</v>
      </c>
      <c r="B23" s="7" t="s">
        <v>46</v>
      </c>
      <c r="C23" s="7" t="s">
        <v>11</v>
      </c>
      <c r="D23" s="7" t="s">
        <v>22</v>
      </c>
      <c r="E23" s="8" t="n">
        <v>500</v>
      </c>
      <c r="F23" s="7"/>
    </row>
    <row r="24" customFormat="false" ht="15" hidden="false" customHeight="false" outlineLevel="0" collapsed="false">
      <c r="A24" s="7" t="s">
        <v>47</v>
      </c>
      <c r="B24" s="7" t="s">
        <v>48</v>
      </c>
      <c r="C24" s="7" t="s">
        <v>11</v>
      </c>
      <c r="D24" s="7" t="s">
        <v>22</v>
      </c>
      <c r="E24" s="8" t="n">
        <v>70</v>
      </c>
      <c r="F24" s="7" t="s">
        <v>49</v>
      </c>
    </row>
    <row r="25" customFormat="false" ht="15" hidden="false" customHeight="false" outlineLevel="0" collapsed="false">
      <c r="A25" s="7" t="s">
        <v>50</v>
      </c>
      <c r="B25" s="7" t="s">
        <v>51</v>
      </c>
      <c r="C25" s="7" t="s">
        <v>11</v>
      </c>
      <c r="D25" s="7" t="s">
        <v>37</v>
      </c>
      <c r="E25" s="8" t="n">
        <v>2444</v>
      </c>
      <c r="F25" s="7"/>
    </row>
    <row r="26" customFormat="false" ht="15" hidden="false" customHeight="false" outlineLevel="0" collapsed="false">
      <c r="A26" s="7" t="s">
        <v>52</v>
      </c>
      <c r="B26" s="7" t="s">
        <v>53</v>
      </c>
      <c r="C26" s="7" t="s">
        <v>11</v>
      </c>
      <c r="D26" s="7" t="s">
        <v>37</v>
      </c>
      <c r="E26" s="8" t="n">
        <v>1860</v>
      </c>
      <c r="F26" s="7"/>
    </row>
    <row r="27" customFormat="false" ht="15" hidden="false" customHeight="false" outlineLevel="0" collapsed="false">
      <c r="A27" s="7" t="s">
        <v>54</v>
      </c>
      <c r="B27" s="7" t="s">
        <v>55</v>
      </c>
      <c r="C27" s="7" t="s">
        <v>11</v>
      </c>
      <c r="D27" s="7" t="s">
        <v>22</v>
      </c>
      <c r="E27" s="8" t="n">
        <v>19</v>
      </c>
      <c r="F27" s="7" t="s">
        <v>56</v>
      </c>
    </row>
    <row r="28" customFormat="false" ht="15" hidden="false" customHeight="false" outlineLevel="0" collapsed="false">
      <c r="A28" s="7" t="s">
        <v>57</v>
      </c>
      <c r="B28" s="7" t="s">
        <v>55</v>
      </c>
      <c r="C28" s="7" t="s">
        <v>11</v>
      </c>
      <c r="D28" s="7" t="s">
        <v>22</v>
      </c>
      <c r="E28" s="8" t="n">
        <v>19</v>
      </c>
      <c r="F28" s="7" t="s">
        <v>56</v>
      </c>
    </row>
    <row r="29" customFormat="false" ht="15" hidden="false" customHeight="false" outlineLevel="0" collapsed="false">
      <c r="A29" s="7" t="s">
        <v>58</v>
      </c>
      <c r="B29" s="7" t="s">
        <v>59</v>
      </c>
      <c r="C29" s="7" t="s">
        <v>11</v>
      </c>
      <c r="D29" s="7" t="s">
        <v>22</v>
      </c>
      <c r="E29" s="8" t="n">
        <v>35</v>
      </c>
      <c r="F29" s="7"/>
    </row>
    <row r="30" customFormat="false" ht="15" hidden="false" customHeight="false" outlineLevel="0" collapsed="false">
      <c r="A30" s="7" t="s">
        <v>60</v>
      </c>
      <c r="B30" s="7" t="s">
        <v>61</v>
      </c>
      <c r="C30" s="7" t="s">
        <v>11</v>
      </c>
      <c r="D30" s="7" t="s">
        <v>22</v>
      </c>
      <c r="E30" s="8" t="n">
        <v>53</v>
      </c>
      <c r="F30" s="7"/>
    </row>
    <row r="31" customFormat="false" ht="15" hidden="false" customHeight="false" outlineLevel="0" collapsed="false">
      <c r="A31" s="7" t="s">
        <v>60</v>
      </c>
      <c r="B31" s="7" t="s">
        <v>62</v>
      </c>
      <c r="C31" s="7" t="s">
        <v>11</v>
      </c>
      <c r="D31" s="7" t="s">
        <v>22</v>
      </c>
      <c r="E31" s="8" t="n">
        <v>18</v>
      </c>
      <c r="F31" s="7"/>
    </row>
    <row r="32" customFormat="false" ht="15" hidden="false" customHeight="false" outlineLevel="0" collapsed="false">
      <c r="A32" s="7" t="s">
        <v>60</v>
      </c>
      <c r="B32" s="7" t="s">
        <v>63</v>
      </c>
      <c r="C32" s="7" t="s">
        <v>11</v>
      </c>
      <c r="D32" s="7" t="s">
        <v>22</v>
      </c>
      <c r="E32" s="8" t="n">
        <v>17</v>
      </c>
      <c r="F32" s="7"/>
    </row>
    <row r="33" customFormat="false" ht="15" hidden="false" customHeight="false" outlineLevel="0" collapsed="false">
      <c r="A33" s="7" t="s">
        <v>60</v>
      </c>
      <c r="B33" s="7" t="s">
        <v>64</v>
      </c>
      <c r="C33" s="7" t="s">
        <v>11</v>
      </c>
      <c r="D33" s="7" t="s">
        <v>22</v>
      </c>
      <c r="E33" s="8" t="n">
        <v>9</v>
      </c>
      <c r="F33" s="7"/>
    </row>
    <row r="34" customFormat="false" ht="15" hidden="false" customHeight="false" outlineLevel="0" collapsed="false">
      <c r="A34" s="7" t="s">
        <v>60</v>
      </c>
      <c r="B34" s="7" t="s">
        <v>65</v>
      </c>
      <c r="C34" s="7" t="s">
        <v>11</v>
      </c>
      <c r="D34" s="7" t="s">
        <v>22</v>
      </c>
      <c r="E34" s="8" t="n">
        <v>6</v>
      </c>
      <c r="F34" s="7"/>
    </row>
    <row r="35" customFormat="false" ht="15" hidden="false" customHeight="false" outlineLevel="0" collapsed="false">
      <c r="A35" s="7" t="s">
        <v>66</v>
      </c>
      <c r="B35" s="7" t="s">
        <v>67</v>
      </c>
      <c r="C35" s="7" t="s">
        <v>11</v>
      </c>
      <c r="D35" s="7" t="s">
        <v>22</v>
      </c>
      <c r="E35" s="8" t="n">
        <v>5</v>
      </c>
      <c r="F35" s="7"/>
    </row>
    <row r="36" customFormat="false" ht="15" hidden="false" customHeight="false" outlineLevel="0" collapsed="false">
      <c r="A36" s="7" t="s">
        <v>66</v>
      </c>
      <c r="B36" s="7" t="s">
        <v>68</v>
      </c>
      <c r="C36" s="7" t="s">
        <v>11</v>
      </c>
      <c r="D36" s="7" t="s">
        <v>22</v>
      </c>
      <c r="E36" s="8" t="n">
        <v>32</v>
      </c>
      <c r="F36" s="7"/>
    </row>
    <row r="37" customFormat="false" ht="15" hidden="false" customHeight="false" outlineLevel="0" collapsed="false">
      <c r="A37" s="7" t="s">
        <v>66</v>
      </c>
      <c r="B37" s="7" t="s">
        <v>69</v>
      </c>
      <c r="C37" s="7" t="s">
        <v>11</v>
      </c>
      <c r="D37" s="7" t="s">
        <v>22</v>
      </c>
      <c r="E37" s="8" t="n">
        <v>54</v>
      </c>
      <c r="F37" s="7"/>
    </row>
    <row r="38" customFormat="false" ht="15" hidden="false" customHeight="false" outlineLevel="0" collapsed="false">
      <c r="A38" s="7" t="s">
        <v>66</v>
      </c>
      <c r="B38" s="7" t="s">
        <v>70</v>
      </c>
      <c r="C38" s="7" t="s">
        <v>11</v>
      </c>
      <c r="D38" s="7" t="s">
        <v>22</v>
      </c>
      <c r="E38" s="8" t="n">
        <v>34</v>
      </c>
      <c r="F38" s="7"/>
    </row>
    <row r="39" customFormat="false" ht="15" hidden="false" customHeight="false" outlineLevel="0" collapsed="false">
      <c r="A39" s="7" t="s">
        <v>71</v>
      </c>
      <c r="B39" s="7" t="s">
        <v>72</v>
      </c>
      <c r="C39" s="7" t="s">
        <v>11</v>
      </c>
      <c r="D39" s="7" t="s">
        <v>22</v>
      </c>
      <c r="E39" s="8" t="n">
        <v>15</v>
      </c>
      <c r="F39" s="7"/>
    </row>
    <row r="40" customFormat="false" ht="15" hidden="false" customHeight="false" outlineLevel="0" collapsed="false">
      <c r="A40" s="7" t="s">
        <v>71</v>
      </c>
      <c r="B40" s="7" t="s">
        <v>73</v>
      </c>
      <c r="C40" s="7" t="s">
        <v>11</v>
      </c>
      <c r="D40" s="7" t="s">
        <v>22</v>
      </c>
      <c r="E40" s="8" t="n">
        <v>9</v>
      </c>
      <c r="F40" s="7"/>
    </row>
    <row r="41" customFormat="false" ht="15" hidden="false" customHeight="false" outlineLevel="0" collapsed="false">
      <c r="A41" s="7" t="s">
        <v>71</v>
      </c>
      <c r="B41" s="7" t="s">
        <v>74</v>
      </c>
      <c r="C41" s="7" t="s">
        <v>11</v>
      </c>
      <c r="D41" s="7" t="s">
        <v>22</v>
      </c>
      <c r="E41" s="8" t="n">
        <v>4</v>
      </c>
      <c r="F41" s="7"/>
    </row>
    <row r="42" customFormat="false" ht="15" hidden="false" customHeight="false" outlineLevel="0" collapsed="false">
      <c r="A42" s="7" t="s">
        <v>71</v>
      </c>
      <c r="B42" s="7" t="s">
        <v>75</v>
      </c>
      <c r="C42" s="7" t="s">
        <v>11</v>
      </c>
      <c r="D42" s="7" t="s">
        <v>22</v>
      </c>
      <c r="E42" s="8" t="n">
        <v>38</v>
      </c>
      <c r="F42" s="7"/>
    </row>
    <row r="43" customFormat="false" ht="15" hidden="false" customHeight="false" outlineLevel="0" collapsed="false">
      <c r="A43" s="7" t="s">
        <v>71</v>
      </c>
      <c r="B43" s="7" t="s">
        <v>76</v>
      </c>
      <c r="C43" s="7" t="s">
        <v>11</v>
      </c>
      <c r="D43" s="7" t="s">
        <v>22</v>
      </c>
      <c r="E43" s="8" t="n">
        <v>20</v>
      </c>
      <c r="F43" s="7"/>
    </row>
    <row r="44" customFormat="false" ht="15" hidden="false" customHeight="false" outlineLevel="0" collapsed="false">
      <c r="A44" s="7" t="s">
        <v>71</v>
      </c>
      <c r="B44" s="7" t="s">
        <v>77</v>
      </c>
      <c r="C44" s="7" t="s">
        <v>11</v>
      </c>
      <c r="D44" s="7" t="s">
        <v>22</v>
      </c>
      <c r="E44" s="8" t="n">
        <v>44</v>
      </c>
      <c r="F44" s="7"/>
    </row>
    <row r="46" customFormat="false" ht="15" hidden="false" customHeight="false" outlineLevel="0" collapsed="false">
      <c r="A46" s="4" t="s">
        <v>78</v>
      </c>
      <c r="B46" s="4"/>
      <c r="C46" s="4"/>
      <c r="D46" s="4"/>
      <c r="E46" s="5" t="n">
        <f aca="false">SUM(E47:E152)</f>
        <v>9243</v>
      </c>
      <c r="F46" s="6"/>
    </row>
    <row r="47" customFormat="false" ht="15" hidden="false" customHeight="false" outlineLevel="0" collapsed="false">
      <c r="A47" s="7" t="s">
        <v>79</v>
      </c>
      <c r="B47" s="7" t="s">
        <v>80</v>
      </c>
      <c r="C47" s="7" t="s">
        <v>81</v>
      </c>
      <c r="D47" s="7" t="s">
        <v>18</v>
      </c>
      <c r="E47" s="8" t="n">
        <v>12</v>
      </c>
      <c r="F47" s="7" t="s">
        <v>13</v>
      </c>
    </row>
    <row r="48" customFormat="false" ht="15" hidden="false" customHeight="false" outlineLevel="0" collapsed="false">
      <c r="A48" s="7" t="s">
        <v>82</v>
      </c>
      <c r="B48" s="7" t="s">
        <v>83</v>
      </c>
      <c r="C48" s="7" t="s">
        <v>81</v>
      </c>
      <c r="D48" s="7" t="s">
        <v>18</v>
      </c>
      <c r="E48" s="8" t="n">
        <v>5</v>
      </c>
      <c r="F48" s="7"/>
    </row>
    <row r="49" customFormat="false" ht="15" hidden="false" customHeight="false" outlineLevel="0" collapsed="false">
      <c r="A49" s="7" t="s">
        <v>84</v>
      </c>
      <c r="B49" s="7" t="s">
        <v>85</v>
      </c>
      <c r="C49" s="7" t="s">
        <v>81</v>
      </c>
      <c r="D49" s="7" t="s">
        <v>18</v>
      </c>
      <c r="E49" s="8" t="n">
        <v>26</v>
      </c>
      <c r="F49" s="7" t="s">
        <v>86</v>
      </c>
    </row>
    <row r="50" customFormat="false" ht="15" hidden="false" customHeight="false" outlineLevel="0" collapsed="false">
      <c r="A50" s="7" t="s">
        <v>20</v>
      </c>
      <c r="B50" s="7" t="s">
        <v>87</v>
      </c>
      <c r="C50" s="7" t="s">
        <v>81</v>
      </c>
      <c r="D50" s="7" t="s">
        <v>22</v>
      </c>
      <c r="E50" s="8" t="n">
        <v>22</v>
      </c>
      <c r="F50" s="7"/>
    </row>
    <row r="51" customFormat="false" ht="15" hidden="false" customHeight="false" outlineLevel="0" collapsed="false">
      <c r="A51" s="7" t="s">
        <v>88</v>
      </c>
      <c r="B51" s="7" t="s">
        <v>89</v>
      </c>
      <c r="C51" s="7" t="s">
        <v>81</v>
      </c>
      <c r="D51" s="7" t="s">
        <v>12</v>
      </c>
      <c r="E51" s="8" t="n">
        <v>220</v>
      </c>
      <c r="F51" s="7" t="s">
        <v>90</v>
      </c>
    </row>
    <row r="52" customFormat="false" ht="15" hidden="false" customHeight="false" outlineLevel="0" collapsed="false">
      <c r="A52" s="7" t="s">
        <v>88</v>
      </c>
      <c r="B52" s="7" t="s">
        <v>91</v>
      </c>
      <c r="C52" s="7" t="s">
        <v>81</v>
      </c>
      <c r="D52" s="7" t="s">
        <v>12</v>
      </c>
      <c r="E52" s="8" t="n">
        <v>38</v>
      </c>
      <c r="F52" s="7" t="s">
        <v>92</v>
      </c>
    </row>
    <row r="53" customFormat="false" ht="15" hidden="false" customHeight="false" outlineLevel="0" collapsed="false">
      <c r="A53" s="7" t="s">
        <v>88</v>
      </c>
      <c r="B53" s="7" t="s">
        <v>93</v>
      </c>
      <c r="C53" s="7" t="s">
        <v>81</v>
      </c>
      <c r="D53" s="7" t="s">
        <v>12</v>
      </c>
      <c r="E53" s="8" t="n">
        <v>38</v>
      </c>
      <c r="F53" s="7" t="s">
        <v>94</v>
      </c>
    </row>
    <row r="54" customFormat="false" ht="15" hidden="false" customHeight="false" outlineLevel="0" collapsed="false">
      <c r="A54" s="7" t="s">
        <v>88</v>
      </c>
      <c r="B54" s="7" t="s">
        <v>95</v>
      </c>
      <c r="C54" s="7" t="s">
        <v>81</v>
      </c>
      <c r="D54" s="7" t="s">
        <v>12</v>
      </c>
      <c r="E54" s="8" t="n">
        <v>234</v>
      </c>
      <c r="F54" s="7" t="s">
        <v>96</v>
      </c>
    </row>
    <row r="55" customFormat="false" ht="15" hidden="false" customHeight="false" outlineLevel="0" collapsed="false">
      <c r="A55" s="7" t="s">
        <v>88</v>
      </c>
      <c r="B55" s="7" t="s">
        <v>97</v>
      </c>
      <c r="C55" s="7" t="s">
        <v>81</v>
      </c>
      <c r="D55" s="7" t="s">
        <v>12</v>
      </c>
      <c r="E55" s="8" t="n">
        <v>81</v>
      </c>
      <c r="F55" s="7" t="s">
        <v>98</v>
      </c>
    </row>
    <row r="56" customFormat="false" ht="15" hidden="false" customHeight="false" outlineLevel="0" collapsed="false">
      <c r="A56" s="7" t="s">
        <v>88</v>
      </c>
      <c r="B56" s="7" t="s">
        <v>99</v>
      </c>
      <c r="C56" s="7" t="s">
        <v>81</v>
      </c>
      <c r="D56" s="7" t="s">
        <v>12</v>
      </c>
      <c r="E56" s="8" t="n">
        <v>6</v>
      </c>
      <c r="F56" s="7" t="s">
        <v>100</v>
      </c>
    </row>
    <row r="57" customFormat="false" ht="15" hidden="false" customHeight="false" outlineLevel="0" collapsed="false">
      <c r="A57" s="7" t="s">
        <v>88</v>
      </c>
      <c r="B57" s="7" t="s">
        <v>101</v>
      </c>
      <c r="C57" s="7" t="s">
        <v>81</v>
      </c>
      <c r="D57" s="7" t="s">
        <v>12</v>
      </c>
      <c r="E57" s="8" t="n">
        <v>43</v>
      </c>
      <c r="F57" s="7" t="s">
        <v>102</v>
      </c>
    </row>
    <row r="58" customFormat="false" ht="15" hidden="false" customHeight="false" outlineLevel="0" collapsed="false">
      <c r="A58" s="7" t="s">
        <v>88</v>
      </c>
      <c r="B58" s="7" t="s">
        <v>103</v>
      </c>
      <c r="C58" s="7" t="s">
        <v>81</v>
      </c>
      <c r="D58" s="7" t="s">
        <v>12</v>
      </c>
      <c r="E58" s="8" t="n">
        <v>5</v>
      </c>
      <c r="F58" s="7" t="s">
        <v>104</v>
      </c>
    </row>
    <row r="59" customFormat="false" ht="15" hidden="false" customHeight="false" outlineLevel="0" collapsed="false">
      <c r="A59" s="7" t="s">
        <v>88</v>
      </c>
      <c r="B59" s="7" t="s">
        <v>105</v>
      </c>
      <c r="C59" s="7" t="s">
        <v>81</v>
      </c>
      <c r="D59" s="7" t="s">
        <v>12</v>
      </c>
      <c r="E59" s="8" t="n">
        <v>48</v>
      </c>
      <c r="F59" s="7" t="s">
        <v>106</v>
      </c>
    </row>
    <row r="60" customFormat="false" ht="15" hidden="false" customHeight="false" outlineLevel="0" collapsed="false">
      <c r="A60" s="7" t="s">
        <v>107</v>
      </c>
      <c r="B60" s="7" t="s">
        <v>108</v>
      </c>
      <c r="C60" s="7" t="s">
        <v>81</v>
      </c>
      <c r="D60" s="7" t="s">
        <v>12</v>
      </c>
      <c r="E60" s="8" t="n">
        <v>10</v>
      </c>
      <c r="F60" s="7" t="s">
        <v>109</v>
      </c>
    </row>
    <row r="61" customFormat="false" ht="15" hidden="false" customHeight="false" outlineLevel="0" collapsed="false">
      <c r="A61" s="7" t="s">
        <v>110</v>
      </c>
      <c r="B61" s="7" t="s">
        <v>111</v>
      </c>
      <c r="C61" s="7" t="s">
        <v>81</v>
      </c>
      <c r="D61" s="7" t="s">
        <v>22</v>
      </c>
      <c r="E61" s="8" t="n">
        <v>25</v>
      </c>
      <c r="F61" s="7" t="s">
        <v>112</v>
      </c>
    </row>
    <row r="62" customFormat="false" ht="15" hidden="false" customHeight="false" outlineLevel="0" collapsed="false">
      <c r="A62" s="7" t="s">
        <v>113</v>
      </c>
      <c r="B62" s="7" t="s">
        <v>114</v>
      </c>
      <c r="C62" s="7" t="s">
        <v>81</v>
      </c>
      <c r="D62" s="7" t="s">
        <v>22</v>
      </c>
      <c r="E62" s="8" t="n">
        <v>10</v>
      </c>
      <c r="F62" s="7" t="s">
        <v>115</v>
      </c>
    </row>
    <row r="63" customFormat="false" ht="15" hidden="false" customHeight="false" outlineLevel="0" collapsed="false">
      <c r="A63" s="7" t="s">
        <v>116</v>
      </c>
      <c r="B63" s="7" t="s">
        <v>117</v>
      </c>
      <c r="C63" s="7" t="s">
        <v>81</v>
      </c>
      <c r="D63" s="7" t="s">
        <v>12</v>
      </c>
      <c r="E63" s="8" t="n">
        <v>298</v>
      </c>
      <c r="F63" s="7" t="s">
        <v>118</v>
      </c>
    </row>
    <row r="64" customFormat="false" ht="15" hidden="false" customHeight="false" outlineLevel="0" collapsed="false">
      <c r="A64" s="7" t="s">
        <v>116</v>
      </c>
      <c r="B64" s="7" t="s">
        <v>119</v>
      </c>
      <c r="C64" s="7" t="s">
        <v>81</v>
      </c>
      <c r="D64" s="7" t="s">
        <v>12</v>
      </c>
      <c r="E64" s="8" t="n">
        <v>2690</v>
      </c>
      <c r="F64" s="7" t="s">
        <v>120</v>
      </c>
    </row>
    <row r="65" customFormat="false" ht="15" hidden="false" customHeight="false" outlineLevel="0" collapsed="false">
      <c r="A65" s="7" t="s">
        <v>116</v>
      </c>
      <c r="B65" s="7" t="s">
        <v>121</v>
      </c>
      <c r="C65" s="7" t="s">
        <v>81</v>
      </c>
      <c r="D65" s="7" t="s">
        <v>12</v>
      </c>
      <c r="E65" s="8" t="n">
        <v>8</v>
      </c>
      <c r="F65" s="7" t="s">
        <v>122</v>
      </c>
    </row>
    <row r="66" customFormat="false" ht="15" hidden="false" customHeight="false" outlineLevel="0" collapsed="false">
      <c r="A66" s="7" t="s">
        <v>116</v>
      </c>
      <c r="B66" s="7" t="s">
        <v>123</v>
      </c>
      <c r="C66" s="7" t="s">
        <v>81</v>
      </c>
      <c r="D66" s="7" t="s">
        <v>12</v>
      </c>
      <c r="E66" s="8" t="n">
        <v>14</v>
      </c>
      <c r="F66" s="7" t="s">
        <v>124</v>
      </c>
    </row>
    <row r="67" customFormat="false" ht="15" hidden="false" customHeight="false" outlineLevel="0" collapsed="false">
      <c r="A67" s="7" t="s">
        <v>116</v>
      </c>
      <c r="B67" s="7" t="s">
        <v>125</v>
      </c>
      <c r="C67" s="7" t="s">
        <v>81</v>
      </c>
      <c r="D67" s="7" t="s">
        <v>12</v>
      </c>
      <c r="E67" s="8" t="n">
        <v>5</v>
      </c>
      <c r="F67" s="7" t="s">
        <v>126</v>
      </c>
    </row>
    <row r="68" customFormat="false" ht="15" hidden="false" customHeight="false" outlineLevel="0" collapsed="false">
      <c r="A68" s="7" t="s">
        <v>127</v>
      </c>
      <c r="B68" s="7" t="s">
        <v>128</v>
      </c>
      <c r="C68" s="7" t="s">
        <v>81</v>
      </c>
      <c r="D68" s="7" t="s">
        <v>12</v>
      </c>
      <c r="E68" s="8" t="n">
        <v>11</v>
      </c>
      <c r="F68" s="7" t="s">
        <v>129</v>
      </c>
    </row>
    <row r="69" customFormat="false" ht="15" hidden="false" customHeight="false" outlineLevel="0" collapsed="false">
      <c r="A69" s="7" t="s">
        <v>127</v>
      </c>
      <c r="B69" s="7" t="s">
        <v>130</v>
      </c>
      <c r="C69" s="7" t="s">
        <v>81</v>
      </c>
      <c r="D69" s="7" t="s">
        <v>12</v>
      </c>
      <c r="E69" s="8" t="n">
        <v>8</v>
      </c>
      <c r="F69" s="7" t="s">
        <v>131</v>
      </c>
    </row>
    <row r="70" customFormat="false" ht="15" hidden="false" customHeight="false" outlineLevel="0" collapsed="false">
      <c r="A70" s="7" t="s">
        <v>127</v>
      </c>
      <c r="B70" s="7" t="s">
        <v>132</v>
      </c>
      <c r="C70" s="7" t="s">
        <v>81</v>
      </c>
      <c r="D70" s="7" t="s">
        <v>12</v>
      </c>
      <c r="E70" s="8" t="n">
        <v>83</v>
      </c>
      <c r="F70" s="7" t="s">
        <v>133</v>
      </c>
    </row>
    <row r="71" customFormat="false" ht="15" hidden="false" customHeight="false" outlineLevel="0" collapsed="false">
      <c r="A71" s="7" t="s">
        <v>127</v>
      </c>
      <c r="B71" s="7" t="s">
        <v>134</v>
      </c>
      <c r="C71" s="7" t="s">
        <v>81</v>
      </c>
      <c r="D71" s="7" t="s">
        <v>12</v>
      </c>
      <c r="E71" s="8" t="n">
        <v>112</v>
      </c>
      <c r="F71" s="7" t="s">
        <v>135</v>
      </c>
    </row>
    <row r="72" customFormat="false" ht="15" hidden="false" customHeight="false" outlineLevel="0" collapsed="false">
      <c r="A72" s="7" t="s">
        <v>127</v>
      </c>
      <c r="B72" s="7" t="s">
        <v>136</v>
      </c>
      <c r="C72" s="7" t="s">
        <v>81</v>
      </c>
      <c r="D72" s="7" t="s">
        <v>12</v>
      </c>
      <c r="E72" s="8" t="n">
        <v>92</v>
      </c>
      <c r="F72" s="7" t="s">
        <v>137</v>
      </c>
    </row>
    <row r="73" customFormat="false" ht="15" hidden="false" customHeight="false" outlineLevel="0" collapsed="false">
      <c r="A73" s="7" t="s">
        <v>127</v>
      </c>
      <c r="B73" s="7" t="s">
        <v>138</v>
      </c>
      <c r="C73" s="7" t="s">
        <v>81</v>
      </c>
      <c r="D73" s="7" t="s">
        <v>12</v>
      </c>
      <c r="E73" s="8" t="n">
        <v>163</v>
      </c>
      <c r="F73" s="7" t="s">
        <v>139</v>
      </c>
    </row>
    <row r="74" customFormat="false" ht="15" hidden="false" customHeight="false" outlineLevel="0" collapsed="false">
      <c r="A74" s="7" t="s">
        <v>127</v>
      </c>
      <c r="B74" s="7" t="s">
        <v>140</v>
      </c>
      <c r="C74" s="7" t="s">
        <v>81</v>
      </c>
      <c r="D74" s="7" t="s">
        <v>12</v>
      </c>
      <c r="E74" s="8" t="n">
        <v>13</v>
      </c>
      <c r="F74" s="7" t="s">
        <v>141</v>
      </c>
    </row>
    <row r="75" customFormat="false" ht="15" hidden="false" customHeight="false" outlineLevel="0" collapsed="false">
      <c r="A75" s="7" t="s">
        <v>127</v>
      </c>
      <c r="B75" s="7" t="s">
        <v>142</v>
      </c>
      <c r="C75" s="7" t="s">
        <v>81</v>
      </c>
      <c r="D75" s="7" t="s">
        <v>12</v>
      </c>
      <c r="E75" s="8" t="n">
        <v>32</v>
      </c>
      <c r="F75" s="7" t="s">
        <v>143</v>
      </c>
    </row>
    <row r="76" customFormat="false" ht="15" hidden="false" customHeight="false" outlineLevel="0" collapsed="false">
      <c r="A76" s="7" t="s">
        <v>127</v>
      </c>
      <c r="B76" s="7" t="s">
        <v>144</v>
      </c>
      <c r="C76" s="7" t="s">
        <v>81</v>
      </c>
      <c r="D76" s="7" t="s">
        <v>12</v>
      </c>
      <c r="E76" s="8" t="n">
        <v>10</v>
      </c>
      <c r="F76" s="7" t="s">
        <v>145</v>
      </c>
    </row>
    <row r="77" customFormat="false" ht="15" hidden="false" customHeight="false" outlineLevel="0" collapsed="false">
      <c r="A77" s="7" t="s">
        <v>127</v>
      </c>
      <c r="B77" s="7" t="s">
        <v>146</v>
      </c>
      <c r="C77" s="7" t="s">
        <v>81</v>
      </c>
      <c r="D77" s="7" t="s">
        <v>12</v>
      </c>
      <c r="E77" s="8" t="n">
        <v>6</v>
      </c>
      <c r="F77" s="7" t="s">
        <v>147</v>
      </c>
    </row>
    <row r="78" customFormat="false" ht="15" hidden="false" customHeight="false" outlineLevel="0" collapsed="false">
      <c r="A78" s="7" t="s">
        <v>127</v>
      </c>
      <c r="B78" s="7" t="s">
        <v>148</v>
      </c>
      <c r="C78" s="7" t="s">
        <v>81</v>
      </c>
      <c r="D78" s="7" t="s">
        <v>12</v>
      </c>
      <c r="E78" s="8" t="n">
        <v>5</v>
      </c>
      <c r="F78" s="7" t="s">
        <v>149</v>
      </c>
    </row>
    <row r="79" customFormat="false" ht="15" hidden="false" customHeight="false" outlineLevel="0" collapsed="false">
      <c r="A79" s="7" t="s">
        <v>127</v>
      </c>
      <c r="B79" s="7" t="s">
        <v>150</v>
      </c>
      <c r="C79" s="7" t="s">
        <v>81</v>
      </c>
      <c r="D79" s="7" t="s">
        <v>12</v>
      </c>
      <c r="E79" s="8" t="n">
        <v>16</v>
      </c>
      <c r="F79" s="7" t="s">
        <v>151</v>
      </c>
    </row>
    <row r="80" customFormat="false" ht="15" hidden="false" customHeight="false" outlineLevel="0" collapsed="false">
      <c r="A80" s="7" t="s">
        <v>152</v>
      </c>
      <c r="B80" s="7" t="s">
        <v>153</v>
      </c>
      <c r="C80" s="7" t="s">
        <v>81</v>
      </c>
      <c r="D80" s="7" t="s">
        <v>12</v>
      </c>
      <c r="E80" s="8" t="n">
        <v>616</v>
      </c>
      <c r="F80" s="7" t="s">
        <v>154</v>
      </c>
    </row>
    <row r="81" customFormat="false" ht="15" hidden="false" customHeight="false" outlineLevel="0" collapsed="false">
      <c r="A81" s="7" t="s">
        <v>155</v>
      </c>
      <c r="B81" s="7" t="s">
        <v>148</v>
      </c>
      <c r="C81" s="7" t="s">
        <v>81</v>
      </c>
      <c r="D81" s="7" t="s">
        <v>12</v>
      </c>
      <c r="E81" s="8" t="n">
        <v>6</v>
      </c>
      <c r="F81" s="7" t="s">
        <v>156</v>
      </c>
    </row>
    <row r="82" customFormat="false" ht="15" hidden="false" customHeight="false" outlineLevel="0" collapsed="false">
      <c r="A82" s="7" t="s">
        <v>157</v>
      </c>
      <c r="B82" s="7" t="s">
        <v>158</v>
      </c>
      <c r="C82" s="7" t="s">
        <v>81</v>
      </c>
      <c r="D82" s="7" t="s">
        <v>12</v>
      </c>
      <c r="E82" s="8" t="n">
        <v>106</v>
      </c>
      <c r="F82" s="7" t="s">
        <v>159</v>
      </c>
    </row>
    <row r="83" customFormat="false" ht="15" hidden="false" customHeight="false" outlineLevel="0" collapsed="false">
      <c r="A83" s="7" t="s">
        <v>157</v>
      </c>
      <c r="B83" s="7" t="s">
        <v>160</v>
      </c>
      <c r="C83" s="7" t="s">
        <v>81</v>
      </c>
      <c r="D83" s="7" t="s">
        <v>12</v>
      </c>
      <c r="E83" s="8" t="n">
        <v>12</v>
      </c>
      <c r="F83" s="7" t="s">
        <v>161</v>
      </c>
    </row>
    <row r="84" customFormat="false" ht="15" hidden="false" customHeight="false" outlineLevel="0" collapsed="false">
      <c r="A84" s="7" t="s">
        <v>162</v>
      </c>
      <c r="B84" s="7" t="s">
        <v>163</v>
      </c>
      <c r="C84" s="7" t="s">
        <v>81</v>
      </c>
      <c r="D84" s="7" t="s">
        <v>12</v>
      </c>
      <c r="E84" s="8" t="n">
        <v>274</v>
      </c>
      <c r="F84" s="7"/>
    </row>
    <row r="85" customFormat="false" ht="15" hidden="false" customHeight="false" outlineLevel="0" collapsed="false">
      <c r="A85" s="7" t="s">
        <v>162</v>
      </c>
      <c r="B85" s="7" t="s">
        <v>164</v>
      </c>
      <c r="C85" s="7" t="s">
        <v>81</v>
      </c>
      <c r="D85" s="7" t="s">
        <v>12</v>
      </c>
      <c r="E85" s="8" t="n">
        <v>29</v>
      </c>
      <c r="F85" s="7"/>
    </row>
    <row r="86" customFormat="false" ht="15" hidden="false" customHeight="false" outlineLevel="0" collapsed="false">
      <c r="A86" s="7" t="s">
        <v>162</v>
      </c>
      <c r="B86" s="7" t="s">
        <v>165</v>
      </c>
      <c r="C86" s="7" t="s">
        <v>81</v>
      </c>
      <c r="D86" s="7" t="s">
        <v>12</v>
      </c>
      <c r="E86" s="8" t="n">
        <v>570</v>
      </c>
      <c r="F86" s="7" t="s">
        <v>166</v>
      </c>
    </row>
    <row r="87" customFormat="false" ht="15" hidden="false" customHeight="false" outlineLevel="0" collapsed="false">
      <c r="A87" s="7" t="s">
        <v>167</v>
      </c>
      <c r="B87" s="7" t="s">
        <v>168</v>
      </c>
      <c r="C87" s="7" t="s">
        <v>81</v>
      </c>
      <c r="D87" s="7" t="s">
        <v>12</v>
      </c>
      <c r="E87" s="8" t="n">
        <v>7</v>
      </c>
      <c r="F87" s="7" t="s">
        <v>169</v>
      </c>
    </row>
    <row r="88" customFormat="false" ht="15" hidden="false" customHeight="false" outlineLevel="0" collapsed="false">
      <c r="A88" s="7" t="s">
        <v>167</v>
      </c>
      <c r="B88" s="7" t="s">
        <v>170</v>
      </c>
      <c r="C88" s="7" t="s">
        <v>81</v>
      </c>
      <c r="D88" s="7" t="s">
        <v>12</v>
      </c>
      <c r="E88" s="8" t="n">
        <v>2</v>
      </c>
      <c r="F88" s="7" t="s">
        <v>171</v>
      </c>
    </row>
    <row r="89" customFormat="false" ht="15" hidden="false" customHeight="false" outlineLevel="0" collapsed="false">
      <c r="A89" s="7" t="s">
        <v>167</v>
      </c>
      <c r="B89" s="7" t="s">
        <v>172</v>
      </c>
      <c r="C89" s="7" t="s">
        <v>81</v>
      </c>
      <c r="D89" s="7" t="s">
        <v>12</v>
      </c>
      <c r="E89" s="8" t="n">
        <v>23</v>
      </c>
      <c r="F89" s="7" t="s">
        <v>173</v>
      </c>
    </row>
    <row r="90" customFormat="false" ht="15" hidden="false" customHeight="false" outlineLevel="0" collapsed="false">
      <c r="A90" s="7" t="s">
        <v>167</v>
      </c>
      <c r="B90" s="7" t="s">
        <v>174</v>
      </c>
      <c r="C90" s="7" t="s">
        <v>81</v>
      </c>
      <c r="D90" s="7" t="s">
        <v>12</v>
      </c>
      <c r="E90" s="8" t="n">
        <v>16</v>
      </c>
      <c r="F90" s="7" t="s">
        <v>175</v>
      </c>
    </row>
    <row r="91" customFormat="false" ht="15" hidden="false" customHeight="false" outlineLevel="0" collapsed="false">
      <c r="A91" s="7" t="s">
        <v>167</v>
      </c>
      <c r="B91" s="7" t="s">
        <v>176</v>
      </c>
      <c r="C91" s="7" t="s">
        <v>81</v>
      </c>
      <c r="D91" s="7" t="s">
        <v>12</v>
      </c>
      <c r="E91" s="8" t="n">
        <v>5</v>
      </c>
      <c r="F91" s="7" t="s">
        <v>177</v>
      </c>
    </row>
    <row r="92" customFormat="false" ht="15" hidden="false" customHeight="false" outlineLevel="0" collapsed="false">
      <c r="A92" s="7" t="s">
        <v>167</v>
      </c>
      <c r="B92" s="7" t="s">
        <v>178</v>
      </c>
      <c r="C92" s="7" t="s">
        <v>81</v>
      </c>
      <c r="D92" s="7" t="s">
        <v>12</v>
      </c>
      <c r="E92" s="8" t="n">
        <v>3</v>
      </c>
      <c r="F92" s="7" t="s">
        <v>179</v>
      </c>
    </row>
    <row r="93" customFormat="false" ht="15" hidden="false" customHeight="false" outlineLevel="0" collapsed="false">
      <c r="A93" s="7" t="s">
        <v>167</v>
      </c>
      <c r="B93" s="7" t="s">
        <v>180</v>
      </c>
      <c r="C93" s="7" t="s">
        <v>81</v>
      </c>
      <c r="D93" s="7" t="s">
        <v>12</v>
      </c>
      <c r="E93" s="8" t="n">
        <v>524</v>
      </c>
      <c r="F93" s="7" t="s">
        <v>181</v>
      </c>
    </row>
    <row r="94" customFormat="false" ht="15" hidden="false" customHeight="false" outlineLevel="0" collapsed="false">
      <c r="A94" s="7" t="s">
        <v>47</v>
      </c>
      <c r="B94" s="7" t="s">
        <v>182</v>
      </c>
      <c r="C94" s="7" t="s">
        <v>81</v>
      </c>
      <c r="D94" s="7" t="s">
        <v>12</v>
      </c>
      <c r="E94" s="8" t="n">
        <v>18</v>
      </c>
      <c r="F94" s="7" t="s">
        <v>183</v>
      </c>
    </row>
    <row r="95" customFormat="false" ht="15" hidden="false" customHeight="false" outlineLevel="0" collapsed="false">
      <c r="A95" s="7" t="s">
        <v>47</v>
      </c>
      <c r="B95" s="7" t="s">
        <v>184</v>
      </c>
      <c r="C95" s="7" t="s">
        <v>81</v>
      </c>
      <c r="D95" s="7" t="s">
        <v>12</v>
      </c>
      <c r="E95" s="8" t="n">
        <v>65</v>
      </c>
      <c r="F95" s="7" t="s">
        <v>185</v>
      </c>
    </row>
    <row r="96" customFormat="false" ht="15" hidden="false" customHeight="false" outlineLevel="0" collapsed="false">
      <c r="A96" s="7" t="s">
        <v>186</v>
      </c>
      <c r="B96" s="7" t="s">
        <v>187</v>
      </c>
      <c r="C96" s="7" t="s">
        <v>81</v>
      </c>
      <c r="D96" s="7" t="s">
        <v>22</v>
      </c>
      <c r="E96" s="8" t="n">
        <v>77</v>
      </c>
      <c r="F96" s="7"/>
    </row>
    <row r="97" customFormat="false" ht="15" hidden="false" customHeight="false" outlineLevel="0" collapsed="false">
      <c r="A97" s="7" t="s">
        <v>188</v>
      </c>
      <c r="B97" s="7" t="s">
        <v>189</v>
      </c>
      <c r="C97" s="7" t="s">
        <v>81</v>
      </c>
      <c r="D97" s="7" t="s">
        <v>18</v>
      </c>
      <c r="E97" s="8" t="n">
        <v>20</v>
      </c>
      <c r="F97" s="7" t="s">
        <v>190</v>
      </c>
    </row>
    <row r="98" customFormat="false" ht="15" hidden="false" customHeight="false" outlineLevel="0" collapsed="false">
      <c r="A98" s="7" t="s">
        <v>188</v>
      </c>
      <c r="B98" s="7" t="s">
        <v>191</v>
      </c>
      <c r="C98" s="7" t="s">
        <v>81</v>
      </c>
      <c r="D98" s="7" t="s">
        <v>18</v>
      </c>
      <c r="E98" s="8" t="n">
        <v>70</v>
      </c>
      <c r="F98" s="7" t="s">
        <v>192</v>
      </c>
    </row>
    <row r="99" customFormat="false" ht="15" hidden="false" customHeight="false" outlineLevel="0" collapsed="false">
      <c r="A99" s="7" t="s">
        <v>188</v>
      </c>
      <c r="B99" s="7" t="s">
        <v>193</v>
      </c>
      <c r="C99" s="7" t="s">
        <v>81</v>
      </c>
      <c r="D99" s="7" t="s">
        <v>12</v>
      </c>
      <c r="E99" s="8" t="n">
        <v>610</v>
      </c>
      <c r="F99" s="7" t="s">
        <v>194</v>
      </c>
    </row>
    <row r="100" customFormat="false" ht="15" hidden="false" customHeight="false" outlineLevel="0" collapsed="false">
      <c r="A100" s="7" t="s">
        <v>188</v>
      </c>
      <c r="B100" s="7" t="s">
        <v>195</v>
      </c>
      <c r="C100" s="7" t="s">
        <v>81</v>
      </c>
      <c r="D100" s="7" t="s">
        <v>12</v>
      </c>
      <c r="E100" s="8" t="n">
        <v>90</v>
      </c>
      <c r="F100" s="7" t="s">
        <v>196</v>
      </c>
    </row>
    <row r="101" customFormat="false" ht="15" hidden="false" customHeight="false" outlineLevel="0" collapsed="false">
      <c r="A101" s="7" t="s">
        <v>188</v>
      </c>
      <c r="B101" s="7" t="s">
        <v>197</v>
      </c>
      <c r="C101" s="7" t="s">
        <v>81</v>
      </c>
      <c r="D101" s="7" t="s">
        <v>12</v>
      </c>
      <c r="E101" s="8" t="n">
        <v>260</v>
      </c>
      <c r="F101" s="7" t="s">
        <v>198</v>
      </c>
    </row>
    <row r="102" customFormat="false" ht="15" hidden="false" customHeight="false" outlineLevel="0" collapsed="false">
      <c r="A102" s="7" t="s">
        <v>199</v>
      </c>
      <c r="B102" s="7" t="s">
        <v>200</v>
      </c>
      <c r="C102" s="7" t="s">
        <v>81</v>
      </c>
      <c r="D102" s="7" t="s">
        <v>12</v>
      </c>
      <c r="E102" s="8" t="n">
        <v>150</v>
      </c>
      <c r="F102" s="7" t="s">
        <v>201</v>
      </c>
    </row>
    <row r="103" customFormat="false" ht="15" hidden="false" customHeight="false" outlineLevel="0" collapsed="false">
      <c r="A103" s="7" t="s">
        <v>199</v>
      </c>
      <c r="B103" s="7" t="s">
        <v>202</v>
      </c>
      <c r="C103" s="7" t="s">
        <v>81</v>
      </c>
      <c r="D103" s="7" t="s">
        <v>12</v>
      </c>
      <c r="E103" s="8" t="n">
        <v>6</v>
      </c>
      <c r="F103" s="7" t="s">
        <v>203</v>
      </c>
    </row>
    <row r="104" customFormat="false" ht="15" hidden="false" customHeight="false" outlineLevel="0" collapsed="false">
      <c r="A104" s="7" t="s">
        <v>199</v>
      </c>
      <c r="B104" s="7" t="s">
        <v>204</v>
      </c>
      <c r="C104" s="7" t="s">
        <v>81</v>
      </c>
      <c r="D104" s="7" t="s">
        <v>12</v>
      </c>
      <c r="E104" s="8" t="n">
        <v>18</v>
      </c>
      <c r="F104" s="7" t="s">
        <v>205</v>
      </c>
    </row>
    <row r="105" customFormat="false" ht="15" hidden="false" customHeight="false" outlineLevel="0" collapsed="false">
      <c r="A105" s="7" t="s">
        <v>206</v>
      </c>
      <c r="B105" s="7" t="s">
        <v>207</v>
      </c>
      <c r="C105" s="7" t="s">
        <v>81</v>
      </c>
      <c r="D105" s="7" t="s">
        <v>18</v>
      </c>
      <c r="E105" s="8" t="n">
        <v>19</v>
      </c>
      <c r="F105" s="7" t="s">
        <v>208</v>
      </c>
    </row>
    <row r="106" customFormat="false" ht="15" hidden="false" customHeight="false" outlineLevel="0" collapsed="false">
      <c r="A106" s="7" t="s">
        <v>206</v>
      </c>
      <c r="B106" s="7" t="s">
        <v>209</v>
      </c>
      <c r="C106" s="7" t="s">
        <v>81</v>
      </c>
      <c r="D106" s="7" t="s">
        <v>18</v>
      </c>
      <c r="E106" s="8" t="n">
        <v>61</v>
      </c>
      <c r="F106" s="7" t="s">
        <v>210</v>
      </c>
    </row>
    <row r="107" customFormat="false" ht="15" hidden="false" customHeight="false" outlineLevel="0" collapsed="false">
      <c r="A107" s="7" t="s">
        <v>206</v>
      </c>
      <c r="B107" s="7" t="s">
        <v>211</v>
      </c>
      <c r="C107" s="7" t="s">
        <v>81</v>
      </c>
      <c r="D107" s="7" t="s">
        <v>22</v>
      </c>
      <c r="E107" s="8" t="n">
        <v>9</v>
      </c>
      <c r="F107" s="7" t="s">
        <v>212</v>
      </c>
    </row>
    <row r="108" customFormat="false" ht="15" hidden="false" customHeight="false" outlineLevel="0" collapsed="false">
      <c r="A108" s="7" t="s">
        <v>206</v>
      </c>
      <c r="B108" s="7" t="s">
        <v>213</v>
      </c>
      <c r="C108" s="7" t="s">
        <v>81</v>
      </c>
      <c r="D108" s="7" t="s">
        <v>22</v>
      </c>
      <c r="E108" s="8" t="n">
        <v>7</v>
      </c>
      <c r="F108" s="7" t="s">
        <v>214</v>
      </c>
    </row>
    <row r="109" customFormat="false" ht="15" hidden="false" customHeight="false" outlineLevel="0" collapsed="false">
      <c r="A109" s="7" t="s">
        <v>206</v>
      </c>
      <c r="B109" s="7" t="s">
        <v>215</v>
      </c>
      <c r="C109" s="7" t="s">
        <v>81</v>
      </c>
      <c r="D109" s="7" t="s">
        <v>22</v>
      </c>
      <c r="E109" s="8" t="n">
        <v>6</v>
      </c>
      <c r="F109" s="7" t="s">
        <v>216</v>
      </c>
    </row>
    <row r="110" customFormat="false" ht="15" hidden="false" customHeight="false" outlineLevel="0" collapsed="false">
      <c r="A110" s="7" t="s">
        <v>206</v>
      </c>
      <c r="B110" s="7" t="s">
        <v>217</v>
      </c>
      <c r="C110" s="7" t="s">
        <v>81</v>
      </c>
      <c r="D110" s="7" t="s">
        <v>22</v>
      </c>
      <c r="E110" s="8" t="n">
        <v>21</v>
      </c>
      <c r="F110" s="7" t="s">
        <v>218</v>
      </c>
    </row>
    <row r="111" customFormat="false" ht="15" hidden="false" customHeight="false" outlineLevel="0" collapsed="false">
      <c r="A111" s="7" t="s">
        <v>206</v>
      </c>
      <c r="B111" s="7" t="s">
        <v>219</v>
      </c>
      <c r="C111" s="7" t="s">
        <v>81</v>
      </c>
      <c r="D111" s="7" t="s">
        <v>12</v>
      </c>
      <c r="E111" s="8" t="n">
        <v>22</v>
      </c>
      <c r="F111" s="7" t="s">
        <v>220</v>
      </c>
    </row>
    <row r="112" customFormat="false" ht="15" hidden="false" customHeight="false" outlineLevel="0" collapsed="false">
      <c r="A112" s="7" t="s">
        <v>206</v>
      </c>
      <c r="B112" s="7" t="s">
        <v>221</v>
      </c>
      <c r="C112" s="7" t="s">
        <v>81</v>
      </c>
      <c r="D112" s="7" t="s">
        <v>22</v>
      </c>
      <c r="E112" s="8" t="n">
        <v>5</v>
      </c>
      <c r="F112" s="7" t="s">
        <v>222</v>
      </c>
    </row>
    <row r="113" customFormat="false" ht="15" hidden="false" customHeight="false" outlineLevel="0" collapsed="false">
      <c r="A113" s="7" t="s">
        <v>206</v>
      </c>
      <c r="B113" s="7" t="s">
        <v>223</v>
      </c>
      <c r="C113" s="7" t="s">
        <v>81</v>
      </c>
      <c r="D113" s="7" t="s">
        <v>18</v>
      </c>
      <c r="E113" s="8" t="n">
        <v>24</v>
      </c>
      <c r="F113" s="7" t="s">
        <v>224</v>
      </c>
    </row>
    <row r="114" customFormat="false" ht="15" hidden="false" customHeight="false" outlineLevel="0" collapsed="false">
      <c r="A114" s="7" t="s">
        <v>206</v>
      </c>
      <c r="B114" s="7" t="s">
        <v>225</v>
      </c>
      <c r="C114" s="7" t="s">
        <v>81</v>
      </c>
      <c r="D114" s="7" t="s">
        <v>22</v>
      </c>
      <c r="E114" s="8" t="n">
        <v>8</v>
      </c>
      <c r="F114" s="7" t="s">
        <v>226</v>
      </c>
    </row>
    <row r="115" customFormat="false" ht="15" hidden="false" customHeight="false" outlineLevel="0" collapsed="false">
      <c r="A115" s="7" t="s">
        <v>227</v>
      </c>
      <c r="B115" s="7" t="s">
        <v>228</v>
      </c>
      <c r="C115" s="7" t="s">
        <v>81</v>
      </c>
      <c r="D115" s="7" t="s">
        <v>22</v>
      </c>
      <c r="E115" s="8" t="n">
        <v>15</v>
      </c>
      <c r="F115" s="7" t="s">
        <v>229</v>
      </c>
    </row>
    <row r="116" customFormat="false" ht="15" hidden="false" customHeight="false" outlineLevel="0" collapsed="false">
      <c r="A116" s="7" t="s">
        <v>227</v>
      </c>
      <c r="B116" s="7" t="s">
        <v>230</v>
      </c>
      <c r="C116" s="7" t="s">
        <v>81</v>
      </c>
      <c r="D116" s="7" t="s">
        <v>22</v>
      </c>
      <c r="E116" s="8" t="n">
        <v>7</v>
      </c>
      <c r="F116" s="7" t="s">
        <v>231</v>
      </c>
    </row>
    <row r="117" customFormat="false" ht="15" hidden="false" customHeight="false" outlineLevel="0" collapsed="false">
      <c r="A117" s="7" t="s">
        <v>227</v>
      </c>
      <c r="B117" s="7" t="s">
        <v>232</v>
      </c>
      <c r="C117" s="7" t="s">
        <v>81</v>
      </c>
      <c r="D117" s="7" t="s">
        <v>12</v>
      </c>
      <c r="E117" s="8" t="n">
        <v>27</v>
      </c>
      <c r="F117" s="7" t="s">
        <v>233</v>
      </c>
    </row>
    <row r="118" customFormat="false" ht="15" hidden="false" customHeight="false" outlineLevel="0" collapsed="false">
      <c r="A118" s="7" t="s">
        <v>234</v>
      </c>
      <c r="B118" s="7" t="s">
        <v>235</v>
      </c>
      <c r="C118" s="7" t="s">
        <v>81</v>
      </c>
      <c r="D118" s="7" t="s">
        <v>12</v>
      </c>
      <c r="E118" s="8" t="n">
        <v>34</v>
      </c>
      <c r="F118" s="7" t="s">
        <v>236</v>
      </c>
    </row>
    <row r="119" customFormat="false" ht="15" hidden="false" customHeight="false" outlineLevel="0" collapsed="false">
      <c r="A119" s="7" t="s">
        <v>234</v>
      </c>
      <c r="B119" s="7" t="s">
        <v>237</v>
      </c>
      <c r="C119" s="7" t="s">
        <v>81</v>
      </c>
      <c r="D119" s="7" t="s">
        <v>22</v>
      </c>
      <c r="E119" s="8" t="n">
        <v>33</v>
      </c>
      <c r="F119" s="7" t="s">
        <v>238</v>
      </c>
    </row>
    <row r="120" customFormat="false" ht="15" hidden="false" customHeight="false" outlineLevel="0" collapsed="false">
      <c r="A120" s="7" t="s">
        <v>234</v>
      </c>
      <c r="B120" s="7" t="s">
        <v>239</v>
      </c>
      <c r="C120" s="7" t="s">
        <v>81</v>
      </c>
      <c r="D120" s="7" t="s">
        <v>12</v>
      </c>
      <c r="E120" s="8" t="n">
        <v>12</v>
      </c>
      <c r="F120" s="7" t="s">
        <v>240</v>
      </c>
    </row>
    <row r="121" customFormat="false" ht="15" hidden="false" customHeight="false" outlineLevel="0" collapsed="false">
      <c r="A121" s="7" t="s">
        <v>241</v>
      </c>
      <c r="B121" s="7" t="s">
        <v>242</v>
      </c>
      <c r="C121" s="7" t="s">
        <v>81</v>
      </c>
      <c r="D121" s="7" t="s">
        <v>12</v>
      </c>
      <c r="E121" s="8" t="n">
        <v>6</v>
      </c>
      <c r="F121" s="7" t="s">
        <v>243</v>
      </c>
    </row>
    <row r="122" customFormat="false" ht="15" hidden="false" customHeight="false" outlineLevel="0" collapsed="false">
      <c r="A122" s="7" t="s">
        <v>241</v>
      </c>
      <c r="B122" s="7" t="s">
        <v>244</v>
      </c>
      <c r="C122" s="7" t="s">
        <v>81</v>
      </c>
      <c r="D122" s="7" t="s">
        <v>12</v>
      </c>
      <c r="E122" s="8" t="n">
        <v>33</v>
      </c>
      <c r="F122" s="7" t="s">
        <v>245</v>
      </c>
    </row>
    <row r="123" customFormat="false" ht="15" hidden="false" customHeight="false" outlineLevel="0" collapsed="false">
      <c r="A123" s="7" t="s">
        <v>241</v>
      </c>
      <c r="B123" s="7" t="s">
        <v>246</v>
      </c>
      <c r="C123" s="7" t="s">
        <v>81</v>
      </c>
      <c r="D123" s="7" t="s">
        <v>12</v>
      </c>
      <c r="E123" s="8" t="n">
        <v>34</v>
      </c>
      <c r="F123" s="7" t="s">
        <v>247</v>
      </c>
    </row>
    <row r="124" customFormat="false" ht="15" hidden="false" customHeight="false" outlineLevel="0" collapsed="false">
      <c r="A124" s="7" t="s">
        <v>248</v>
      </c>
      <c r="B124" s="7" t="s">
        <v>249</v>
      </c>
      <c r="C124" s="7" t="s">
        <v>81</v>
      </c>
      <c r="D124" s="7" t="s">
        <v>12</v>
      </c>
      <c r="E124" s="8" t="n">
        <v>35</v>
      </c>
      <c r="F124" s="7" t="s">
        <v>250</v>
      </c>
    </row>
    <row r="125" customFormat="false" ht="15" hidden="false" customHeight="false" outlineLevel="0" collapsed="false">
      <c r="A125" s="7" t="s">
        <v>251</v>
      </c>
      <c r="B125" s="7" t="s">
        <v>252</v>
      </c>
      <c r="C125" s="7" t="s">
        <v>81</v>
      </c>
      <c r="D125" s="7" t="s">
        <v>12</v>
      </c>
      <c r="E125" s="8" t="n">
        <v>33</v>
      </c>
      <c r="F125" s="7" t="s">
        <v>253</v>
      </c>
    </row>
    <row r="126" customFormat="false" ht="15" hidden="false" customHeight="false" outlineLevel="0" collapsed="false">
      <c r="A126" s="7" t="s">
        <v>251</v>
      </c>
      <c r="B126" s="7" t="s">
        <v>254</v>
      </c>
      <c r="C126" s="7" t="s">
        <v>81</v>
      </c>
      <c r="D126" s="7" t="s">
        <v>12</v>
      </c>
      <c r="E126" s="8" t="n">
        <v>22</v>
      </c>
      <c r="F126" s="7" t="s">
        <v>255</v>
      </c>
    </row>
    <row r="127" customFormat="false" ht="15" hidden="false" customHeight="false" outlineLevel="0" collapsed="false">
      <c r="A127" s="7" t="s">
        <v>256</v>
      </c>
      <c r="B127" s="7" t="s">
        <v>257</v>
      </c>
      <c r="C127" s="7" t="s">
        <v>81</v>
      </c>
      <c r="D127" s="7" t="s">
        <v>22</v>
      </c>
      <c r="E127" s="8" t="n">
        <v>17</v>
      </c>
      <c r="F127" s="7" t="s">
        <v>258</v>
      </c>
    </row>
    <row r="128" customFormat="false" ht="15" hidden="false" customHeight="false" outlineLevel="0" collapsed="false">
      <c r="A128" s="7" t="s">
        <v>259</v>
      </c>
      <c r="B128" s="7" t="s">
        <v>260</v>
      </c>
      <c r="C128" s="7" t="s">
        <v>81</v>
      </c>
      <c r="D128" s="7" t="s">
        <v>12</v>
      </c>
      <c r="E128" s="8" t="n">
        <v>29</v>
      </c>
      <c r="F128" s="7" t="s">
        <v>261</v>
      </c>
    </row>
    <row r="129" customFormat="false" ht="15" hidden="false" customHeight="false" outlineLevel="0" collapsed="false">
      <c r="A129" s="7" t="s">
        <v>259</v>
      </c>
      <c r="B129" s="7" t="s">
        <v>262</v>
      </c>
      <c r="C129" s="7" t="s">
        <v>81</v>
      </c>
      <c r="D129" s="7" t="s">
        <v>12</v>
      </c>
      <c r="E129" s="8" t="n">
        <v>5</v>
      </c>
      <c r="F129" s="7" t="s">
        <v>263</v>
      </c>
    </row>
    <row r="130" customFormat="false" ht="15" hidden="false" customHeight="false" outlineLevel="0" collapsed="false">
      <c r="A130" s="7" t="s">
        <v>259</v>
      </c>
      <c r="B130" s="7" t="s">
        <v>264</v>
      </c>
      <c r="C130" s="7" t="s">
        <v>81</v>
      </c>
      <c r="D130" s="7" t="s">
        <v>18</v>
      </c>
      <c r="E130" s="8" t="n">
        <v>10</v>
      </c>
      <c r="F130" s="7" t="s">
        <v>265</v>
      </c>
    </row>
    <row r="131" customFormat="false" ht="15" hidden="false" customHeight="false" outlineLevel="0" collapsed="false">
      <c r="A131" s="7" t="s">
        <v>259</v>
      </c>
      <c r="B131" s="7" t="s">
        <v>266</v>
      </c>
      <c r="C131" s="7" t="s">
        <v>81</v>
      </c>
      <c r="D131" s="7" t="s">
        <v>18</v>
      </c>
      <c r="E131" s="8" t="n">
        <v>10</v>
      </c>
      <c r="F131" s="7" t="s">
        <v>267</v>
      </c>
    </row>
    <row r="132" customFormat="false" ht="15" hidden="false" customHeight="false" outlineLevel="0" collapsed="false">
      <c r="A132" s="7" t="s">
        <v>268</v>
      </c>
      <c r="B132" s="7" t="s">
        <v>269</v>
      </c>
      <c r="C132" s="7" t="s">
        <v>81</v>
      </c>
      <c r="D132" s="7" t="s">
        <v>12</v>
      </c>
      <c r="E132" s="8" t="n">
        <v>17</v>
      </c>
      <c r="F132" s="7"/>
    </row>
    <row r="133" customFormat="false" ht="15" hidden="false" customHeight="false" outlineLevel="0" collapsed="false">
      <c r="A133" s="7" t="s">
        <v>270</v>
      </c>
      <c r="B133" s="7" t="s">
        <v>271</v>
      </c>
      <c r="C133" s="7" t="s">
        <v>81</v>
      </c>
      <c r="D133" s="7" t="s">
        <v>12</v>
      </c>
      <c r="E133" s="8" t="n">
        <v>22</v>
      </c>
      <c r="F133" s="7"/>
    </row>
    <row r="134" customFormat="false" ht="15" hidden="false" customHeight="false" outlineLevel="0" collapsed="false">
      <c r="A134" s="7" t="s">
        <v>270</v>
      </c>
      <c r="B134" s="7" t="s">
        <v>272</v>
      </c>
      <c r="C134" s="7" t="s">
        <v>81</v>
      </c>
      <c r="D134" s="7" t="s">
        <v>18</v>
      </c>
      <c r="E134" s="8" t="n">
        <v>12</v>
      </c>
      <c r="F134" s="7"/>
    </row>
    <row r="135" customFormat="false" ht="15" hidden="false" customHeight="false" outlineLevel="0" collapsed="false">
      <c r="A135" s="7" t="s">
        <v>273</v>
      </c>
      <c r="B135" s="7" t="s">
        <v>274</v>
      </c>
      <c r="C135" s="7" t="s">
        <v>81</v>
      </c>
      <c r="D135" s="7" t="s">
        <v>12</v>
      </c>
      <c r="E135" s="8" t="n">
        <v>22</v>
      </c>
      <c r="F135" s="7" t="s">
        <v>275</v>
      </c>
    </row>
    <row r="136" customFormat="false" ht="15" hidden="false" customHeight="false" outlineLevel="0" collapsed="false">
      <c r="A136" s="7" t="s">
        <v>273</v>
      </c>
      <c r="B136" s="7" t="s">
        <v>276</v>
      </c>
      <c r="C136" s="7" t="s">
        <v>81</v>
      </c>
      <c r="D136" s="7" t="s">
        <v>12</v>
      </c>
      <c r="E136" s="8" t="n">
        <v>6</v>
      </c>
      <c r="F136" s="7" t="s">
        <v>277</v>
      </c>
    </row>
    <row r="137" customFormat="false" ht="15" hidden="false" customHeight="false" outlineLevel="0" collapsed="false">
      <c r="A137" s="7" t="s">
        <v>278</v>
      </c>
      <c r="B137" s="7" t="s">
        <v>279</v>
      </c>
      <c r="C137" s="7" t="s">
        <v>81</v>
      </c>
      <c r="D137" s="7" t="s">
        <v>12</v>
      </c>
      <c r="E137" s="8" t="n">
        <v>8</v>
      </c>
      <c r="F137" s="7"/>
    </row>
    <row r="138" customFormat="false" ht="15" hidden="false" customHeight="false" outlineLevel="0" collapsed="false">
      <c r="A138" s="7" t="s">
        <v>278</v>
      </c>
      <c r="B138" s="7" t="s">
        <v>280</v>
      </c>
      <c r="C138" s="7" t="s">
        <v>81</v>
      </c>
      <c r="D138" s="7" t="s">
        <v>18</v>
      </c>
      <c r="E138" s="8" t="n">
        <v>34</v>
      </c>
      <c r="F138" s="7" t="s">
        <v>281</v>
      </c>
    </row>
    <row r="139" customFormat="false" ht="15" hidden="false" customHeight="false" outlineLevel="0" collapsed="false">
      <c r="A139" s="7" t="s">
        <v>278</v>
      </c>
      <c r="B139" s="7" t="s">
        <v>282</v>
      </c>
      <c r="C139" s="7" t="s">
        <v>81</v>
      </c>
      <c r="D139" s="7" t="s">
        <v>12</v>
      </c>
      <c r="E139" s="8" t="n">
        <v>59</v>
      </c>
      <c r="F139" s="7" t="s">
        <v>283</v>
      </c>
    </row>
    <row r="140" customFormat="false" ht="15" hidden="false" customHeight="false" outlineLevel="0" collapsed="false">
      <c r="A140" s="7" t="s">
        <v>284</v>
      </c>
      <c r="B140" s="7" t="s">
        <v>285</v>
      </c>
      <c r="C140" s="7" t="s">
        <v>81</v>
      </c>
      <c r="D140" s="7" t="s">
        <v>12</v>
      </c>
      <c r="E140" s="8" t="n">
        <v>25</v>
      </c>
      <c r="F140" s="7" t="s">
        <v>286</v>
      </c>
    </row>
    <row r="141" customFormat="false" ht="15" hidden="false" customHeight="false" outlineLevel="0" collapsed="false">
      <c r="A141" s="7" t="s">
        <v>287</v>
      </c>
      <c r="B141" s="7" t="s">
        <v>288</v>
      </c>
      <c r="C141" s="7" t="s">
        <v>81</v>
      </c>
      <c r="D141" s="7" t="s">
        <v>18</v>
      </c>
      <c r="E141" s="8" t="n">
        <v>11</v>
      </c>
      <c r="F141" s="7" t="s">
        <v>289</v>
      </c>
    </row>
    <row r="142" customFormat="false" ht="15" hidden="false" customHeight="false" outlineLevel="0" collapsed="false">
      <c r="A142" s="7" t="s">
        <v>287</v>
      </c>
      <c r="B142" s="7" t="s">
        <v>290</v>
      </c>
      <c r="C142" s="7" t="s">
        <v>81</v>
      </c>
      <c r="D142" s="7" t="s">
        <v>12</v>
      </c>
      <c r="E142" s="8" t="n">
        <v>11</v>
      </c>
      <c r="F142" s="7" t="s">
        <v>291</v>
      </c>
    </row>
    <row r="143" customFormat="false" ht="15" hidden="false" customHeight="false" outlineLevel="0" collapsed="false">
      <c r="A143" s="7" t="s">
        <v>287</v>
      </c>
      <c r="B143" s="7" t="s">
        <v>292</v>
      </c>
      <c r="C143" s="7" t="s">
        <v>81</v>
      </c>
      <c r="D143" s="7" t="s">
        <v>18</v>
      </c>
      <c r="E143" s="8" t="n">
        <v>26</v>
      </c>
      <c r="F143" s="7" t="s">
        <v>293</v>
      </c>
    </row>
    <row r="144" customFormat="false" ht="15" hidden="false" customHeight="false" outlineLevel="0" collapsed="false">
      <c r="A144" s="7" t="s">
        <v>287</v>
      </c>
      <c r="B144" s="7" t="s">
        <v>294</v>
      </c>
      <c r="C144" s="7" t="s">
        <v>81</v>
      </c>
      <c r="D144" s="7" t="s">
        <v>12</v>
      </c>
      <c r="E144" s="8" t="n">
        <v>8</v>
      </c>
      <c r="F144" s="7" t="s">
        <v>295</v>
      </c>
    </row>
    <row r="145" customFormat="false" ht="15" hidden="false" customHeight="false" outlineLevel="0" collapsed="false">
      <c r="A145" s="7" t="s">
        <v>287</v>
      </c>
      <c r="B145" s="7" t="s">
        <v>290</v>
      </c>
      <c r="C145" s="7" t="s">
        <v>81</v>
      </c>
      <c r="D145" s="7" t="s">
        <v>12</v>
      </c>
      <c r="E145" s="8" t="n">
        <v>11</v>
      </c>
      <c r="F145" s="7" t="s">
        <v>296</v>
      </c>
    </row>
    <row r="146" customFormat="false" ht="15" hidden="false" customHeight="false" outlineLevel="0" collapsed="false">
      <c r="A146" s="7" t="s">
        <v>287</v>
      </c>
      <c r="B146" s="7" t="s">
        <v>297</v>
      </c>
      <c r="C146" s="7" t="s">
        <v>81</v>
      </c>
      <c r="D146" s="7" t="s">
        <v>18</v>
      </c>
      <c r="E146" s="8" t="n">
        <v>8</v>
      </c>
      <c r="F146" s="7" t="s">
        <v>298</v>
      </c>
    </row>
    <row r="147" customFormat="false" ht="15" hidden="false" customHeight="false" outlineLevel="0" collapsed="false">
      <c r="A147" s="7" t="s">
        <v>287</v>
      </c>
      <c r="B147" s="7" t="s">
        <v>299</v>
      </c>
      <c r="C147" s="7" t="s">
        <v>81</v>
      </c>
      <c r="D147" s="7" t="s">
        <v>18</v>
      </c>
      <c r="E147" s="8" t="n">
        <v>16</v>
      </c>
      <c r="F147" s="7" t="s">
        <v>300</v>
      </c>
    </row>
    <row r="148" customFormat="false" ht="15" hidden="false" customHeight="false" outlineLevel="0" collapsed="false">
      <c r="A148" s="7" t="s">
        <v>60</v>
      </c>
      <c r="B148" s="7" t="s">
        <v>301</v>
      </c>
      <c r="C148" s="7" t="s">
        <v>81</v>
      </c>
      <c r="D148" s="7" t="s">
        <v>22</v>
      </c>
      <c r="E148" s="8" t="n">
        <v>6</v>
      </c>
      <c r="F148" s="7"/>
    </row>
    <row r="149" customFormat="false" ht="15" hidden="false" customHeight="false" outlineLevel="0" collapsed="false">
      <c r="A149" s="7" t="s">
        <v>302</v>
      </c>
      <c r="B149" s="7" t="s">
        <v>303</v>
      </c>
      <c r="C149" s="7" t="s">
        <v>81</v>
      </c>
      <c r="D149" s="7" t="s">
        <v>22</v>
      </c>
      <c r="E149" s="8" t="n">
        <v>17</v>
      </c>
      <c r="F149" s="7"/>
    </row>
    <row r="150" customFormat="false" ht="15" hidden="false" customHeight="false" outlineLevel="0" collapsed="false">
      <c r="A150" s="7" t="s">
        <v>302</v>
      </c>
      <c r="B150" s="7" t="s">
        <v>304</v>
      </c>
      <c r="C150" s="7" t="s">
        <v>81</v>
      </c>
      <c r="D150" s="7" t="s">
        <v>12</v>
      </c>
      <c r="E150" s="8" t="n">
        <v>223</v>
      </c>
      <c r="F150" s="7"/>
    </row>
    <row r="151" customFormat="false" ht="15" hidden="false" customHeight="false" outlineLevel="0" collapsed="false">
      <c r="A151" s="7" t="s">
        <v>305</v>
      </c>
      <c r="B151" s="7" t="s">
        <v>306</v>
      </c>
      <c r="C151" s="7" t="s">
        <v>81</v>
      </c>
      <c r="D151" s="7" t="s">
        <v>22</v>
      </c>
      <c r="E151" s="8" t="n">
        <v>17</v>
      </c>
      <c r="F151" s="7"/>
    </row>
    <row r="152" customFormat="false" ht="15" hidden="false" customHeight="false" outlineLevel="0" collapsed="false">
      <c r="A152" s="7" t="s">
        <v>305</v>
      </c>
      <c r="B152" s="7" t="s">
        <v>307</v>
      </c>
      <c r="C152" s="7" t="s">
        <v>81</v>
      </c>
      <c r="D152" s="7" t="s">
        <v>12</v>
      </c>
      <c r="E152" s="8" t="n">
        <v>174</v>
      </c>
      <c r="F152" s="7"/>
    </row>
    <row r="154" customFormat="false" ht="15" hidden="false" customHeight="false" outlineLevel="0" collapsed="false">
      <c r="A154" s="4" t="s">
        <v>308</v>
      </c>
      <c r="B154" s="4"/>
      <c r="C154" s="4"/>
      <c r="D154" s="4"/>
      <c r="E154" s="5" t="n">
        <f aca="false">SUM(E155:E174)</f>
        <v>5617</v>
      </c>
      <c r="F154" s="6"/>
    </row>
    <row r="155" customFormat="false" ht="15" hidden="false" customHeight="false" outlineLevel="0" collapsed="false">
      <c r="A155" s="7" t="s">
        <v>309</v>
      </c>
      <c r="B155" s="7" t="s">
        <v>310</v>
      </c>
      <c r="C155" s="7" t="s">
        <v>311</v>
      </c>
      <c r="D155" s="7" t="s">
        <v>12</v>
      </c>
      <c r="E155" s="8" t="n">
        <v>2721</v>
      </c>
      <c r="F155" s="7"/>
    </row>
    <row r="156" customFormat="false" ht="15" hidden="false" customHeight="false" outlineLevel="0" collapsed="false">
      <c r="A156" s="7" t="s">
        <v>312</v>
      </c>
      <c r="B156" s="7" t="s">
        <v>313</v>
      </c>
      <c r="C156" s="7" t="s">
        <v>311</v>
      </c>
      <c r="D156" s="7" t="s">
        <v>18</v>
      </c>
      <c r="E156" s="8" t="n">
        <v>37</v>
      </c>
      <c r="F156" s="7"/>
    </row>
    <row r="157" customFormat="false" ht="15" hidden="false" customHeight="false" outlineLevel="0" collapsed="false">
      <c r="A157" s="7" t="s">
        <v>312</v>
      </c>
      <c r="B157" s="7" t="s">
        <v>314</v>
      </c>
      <c r="C157" s="7" t="s">
        <v>311</v>
      </c>
      <c r="D157" s="7" t="s">
        <v>12</v>
      </c>
      <c r="E157" s="8" t="n">
        <v>25</v>
      </c>
      <c r="F157" s="7"/>
    </row>
    <row r="158" customFormat="false" ht="15" hidden="false" customHeight="false" outlineLevel="0" collapsed="false">
      <c r="A158" s="7" t="s">
        <v>315</v>
      </c>
      <c r="B158" s="7" t="s">
        <v>316</v>
      </c>
      <c r="C158" s="7" t="s">
        <v>311</v>
      </c>
      <c r="D158" s="7" t="s">
        <v>22</v>
      </c>
      <c r="E158" s="8" t="n">
        <v>15</v>
      </c>
      <c r="F158" s="7"/>
    </row>
    <row r="159" customFormat="false" ht="15" hidden="false" customHeight="false" outlineLevel="0" collapsed="false">
      <c r="A159" s="7" t="s">
        <v>26</v>
      </c>
      <c r="B159" s="7" t="s">
        <v>317</v>
      </c>
      <c r="C159" s="7" t="s">
        <v>311</v>
      </c>
      <c r="D159" s="7" t="s">
        <v>12</v>
      </c>
      <c r="E159" s="8" t="n">
        <v>325</v>
      </c>
      <c r="F159" s="7" t="s">
        <v>318</v>
      </c>
    </row>
    <row r="160" customFormat="false" ht="15" hidden="false" customHeight="false" outlineLevel="0" collapsed="false">
      <c r="A160" s="7" t="s">
        <v>319</v>
      </c>
      <c r="B160" s="7" t="s">
        <v>320</v>
      </c>
      <c r="C160" s="7" t="s">
        <v>311</v>
      </c>
      <c r="D160" s="7" t="s">
        <v>321</v>
      </c>
      <c r="E160" s="8" t="n">
        <v>40</v>
      </c>
      <c r="F160" s="7"/>
    </row>
    <row r="161" customFormat="false" ht="15" hidden="false" customHeight="false" outlineLevel="0" collapsed="false">
      <c r="A161" s="7" t="s">
        <v>322</v>
      </c>
      <c r="B161" s="7" t="s">
        <v>323</v>
      </c>
      <c r="C161" s="7" t="s">
        <v>311</v>
      </c>
      <c r="D161" s="7" t="s">
        <v>22</v>
      </c>
      <c r="E161" s="8" t="n">
        <v>35</v>
      </c>
      <c r="F161" s="7"/>
    </row>
    <row r="162" customFormat="false" ht="15" hidden="false" customHeight="false" outlineLevel="0" collapsed="false">
      <c r="A162" s="7" t="s">
        <v>324</v>
      </c>
      <c r="B162" s="7" t="s">
        <v>325</v>
      </c>
      <c r="C162" s="7" t="s">
        <v>311</v>
      </c>
      <c r="D162" s="7" t="s">
        <v>12</v>
      </c>
      <c r="E162" s="8" t="n">
        <v>269</v>
      </c>
      <c r="F162" s="7"/>
    </row>
    <row r="163" customFormat="false" ht="15" hidden="false" customHeight="false" outlineLevel="0" collapsed="false">
      <c r="A163" s="7" t="s">
        <v>326</v>
      </c>
      <c r="B163" s="7" t="s">
        <v>327</v>
      </c>
      <c r="C163" s="7" t="s">
        <v>311</v>
      </c>
      <c r="D163" s="7" t="s">
        <v>12</v>
      </c>
      <c r="E163" s="8" t="n">
        <v>1755</v>
      </c>
      <c r="F163" s="7" t="s">
        <v>328</v>
      </c>
    </row>
    <row r="164" customFormat="false" ht="15" hidden="false" customHeight="false" outlineLevel="0" collapsed="false">
      <c r="A164" s="7" t="s">
        <v>329</v>
      </c>
      <c r="B164" s="7" t="s">
        <v>330</v>
      </c>
      <c r="C164" s="7" t="s">
        <v>311</v>
      </c>
      <c r="D164" s="7" t="s">
        <v>12</v>
      </c>
      <c r="E164" s="8" t="n">
        <v>25</v>
      </c>
      <c r="F164" s="7"/>
    </row>
    <row r="165" customFormat="false" ht="15" hidden="false" customHeight="false" outlineLevel="0" collapsed="false">
      <c r="A165" s="7" t="s">
        <v>329</v>
      </c>
      <c r="B165" s="7" t="s">
        <v>330</v>
      </c>
      <c r="C165" s="7" t="s">
        <v>311</v>
      </c>
      <c r="D165" s="7" t="s">
        <v>12</v>
      </c>
      <c r="E165" s="8" t="n">
        <v>25</v>
      </c>
      <c r="F165" s="7"/>
    </row>
    <row r="166" customFormat="false" ht="15" hidden="false" customHeight="false" outlineLevel="0" collapsed="false">
      <c r="A166" s="7" t="s">
        <v>167</v>
      </c>
      <c r="B166" s="7" t="s">
        <v>331</v>
      </c>
      <c r="C166" s="7" t="s">
        <v>311</v>
      </c>
      <c r="D166" s="7" t="s">
        <v>12</v>
      </c>
      <c r="E166" s="8" t="n">
        <v>12</v>
      </c>
      <c r="F166" s="7" t="s">
        <v>332</v>
      </c>
    </row>
    <row r="167" customFormat="false" ht="15" hidden="false" customHeight="false" outlineLevel="0" collapsed="false">
      <c r="A167" s="7" t="s">
        <v>333</v>
      </c>
      <c r="B167" s="7" t="s">
        <v>334</v>
      </c>
      <c r="C167" s="7" t="s">
        <v>311</v>
      </c>
      <c r="D167" s="7" t="s">
        <v>22</v>
      </c>
      <c r="E167" s="8" t="n">
        <v>96</v>
      </c>
      <c r="F167" s="7"/>
    </row>
    <row r="168" customFormat="false" ht="15" hidden="false" customHeight="false" outlineLevel="0" collapsed="false">
      <c r="A168" s="7" t="s">
        <v>335</v>
      </c>
      <c r="B168" s="7" t="s">
        <v>336</v>
      </c>
      <c r="C168" s="7" t="s">
        <v>311</v>
      </c>
      <c r="D168" s="7" t="s">
        <v>22</v>
      </c>
      <c r="E168" s="8" t="n">
        <v>46</v>
      </c>
      <c r="F168" s="7"/>
    </row>
    <row r="169" customFormat="false" ht="15" hidden="false" customHeight="false" outlineLevel="0" collapsed="false">
      <c r="A169" s="7" t="s">
        <v>302</v>
      </c>
      <c r="B169" s="7" t="s">
        <v>337</v>
      </c>
      <c r="C169" s="7" t="s">
        <v>311</v>
      </c>
      <c r="D169" s="7" t="s">
        <v>12</v>
      </c>
      <c r="E169" s="8" t="n">
        <v>8</v>
      </c>
      <c r="F169" s="7"/>
    </row>
    <row r="170" customFormat="false" ht="15" hidden="false" customHeight="false" outlineLevel="0" collapsed="false">
      <c r="A170" s="7" t="s">
        <v>302</v>
      </c>
      <c r="B170" s="7" t="s">
        <v>338</v>
      </c>
      <c r="C170" s="7" t="s">
        <v>311</v>
      </c>
      <c r="D170" s="7" t="s">
        <v>22</v>
      </c>
      <c r="E170" s="8" t="n">
        <v>46</v>
      </c>
      <c r="F170" s="7"/>
    </row>
    <row r="171" customFormat="false" ht="15" hidden="false" customHeight="false" outlineLevel="0" collapsed="false">
      <c r="A171" s="7" t="s">
        <v>302</v>
      </c>
      <c r="B171" s="7" t="s">
        <v>339</v>
      </c>
      <c r="C171" s="7" t="s">
        <v>311</v>
      </c>
      <c r="D171" s="7" t="s">
        <v>22</v>
      </c>
      <c r="E171" s="8" t="n">
        <v>22</v>
      </c>
      <c r="F171" s="7"/>
    </row>
    <row r="172" customFormat="false" ht="15" hidden="false" customHeight="false" outlineLevel="0" collapsed="false">
      <c r="A172" s="7" t="s">
        <v>302</v>
      </c>
      <c r="B172" s="7" t="s">
        <v>340</v>
      </c>
      <c r="C172" s="7" t="s">
        <v>311</v>
      </c>
      <c r="D172" s="7" t="s">
        <v>22</v>
      </c>
      <c r="E172" s="8" t="n">
        <v>52</v>
      </c>
      <c r="F172" s="7"/>
    </row>
    <row r="173" customFormat="false" ht="15" hidden="false" customHeight="false" outlineLevel="0" collapsed="false">
      <c r="A173" s="7" t="s">
        <v>302</v>
      </c>
      <c r="B173" s="7" t="s">
        <v>341</v>
      </c>
      <c r="C173" s="7" t="s">
        <v>311</v>
      </c>
      <c r="D173" s="7" t="s">
        <v>22</v>
      </c>
      <c r="E173" s="8" t="n">
        <v>45</v>
      </c>
      <c r="F173" s="7"/>
    </row>
    <row r="174" customFormat="false" ht="15" hidden="false" customHeight="false" outlineLevel="0" collapsed="false">
      <c r="A174" s="7" t="s">
        <v>302</v>
      </c>
      <c r="B174" s="7" t="s">
        <v>342</v>
      </c>
      <c r="C174" s="7" t="s">
        <v>311</v>
      </c>
      <c r="D174" s="7" t="s">
        <v>22</v>
      </c>
      <c r="E174" s="8" t="n">
        <v>18</v>
      </c>
      <c r="F174" s="7"/>
    </row>
    <row r="176" customFormat="false" ht="15" hidden="false" customHeight="false" outlineLevel="0" collapsed="false">
      <c r="A176" s="4" t="s">
        <v>343</v>
      </c>
      <c r="B176" s="4"/>
      <c r="C176" s="4"/>
      <c r="D176" s="4"/>
      <c r="E176" s="5" t="n">
        <f aca="false">SUM(E177:E225)</f>
        <v>2166</v>
      </c>
      <c r="F176" s="6"/>
    </row>
    <row r="177" customFormat="false" ht="15" hidden="false" customHeight="false" outlineLevel="0" collapsed="false">
      <c r="A177" s="7" t="s">
        <v>344</v>
      </c>
      <c r="B177" s="7" t="s">
        <v>345</v>
      </c>
      <c r="C177" s="7" t="s">
        <v>346</v>
      </c>
      <c r="D177" s="7" t="s">
        <v>12</v>
      </c>
      <c r="E177" s="8" t="n">
        <v>2</v>
      </c>
      <c r="F177" s="7" t="s">
        <v>347</v>
      </c>
    </row>
    <row r="178" customFormat="false" ht="15" hidden="false" customHeight="false" outlineLevel="0" collapsed="false">
      <c r="A178" s="7" t="s">
        <v>344</v>
      </c>
      <c r="B178" s="7" t="s">
        <v>348</v>
      </c>
      <c r="C178" s="7" t="s">
        <v>346</v>
      </c>
      <c r="D178" s="7" t="s">
        <v>12</v>
      </c>
      <c r="E178" s="8" t="n">
        <v>32</v>
      </c>
      <c r="F178" s="7" t="s">
        <v>349</v>
      </c>
    </row>
    <row r="179" customFormat="false" ht="15" hidden="false" customHeight="false" outlineLevel="0" collapsed="false">
      <c r="A179" s="7" t="s">
        <v>344</v>
      </c>
      <c r="B179" s="7" t="s">
        <v>350</v>
      </c>
      <c r="C179" s="7" t="s">
        <v>346</v>
      </c>
      <c r="D179" s="7" t="s">
        <v>12</v>
      </c>
      <c r="E179" s="8" t="n">
        <v>2</v>
      </c>
      <c r="F179" s="7" t="s">
        <v>347</v>
      </c>
    </row>
    <row r="180" customFormat="false" ht="15" hidden="false" customHeight="false" outlineLevel="0" collapsed="false">
      <c r="A180" s="7" t="s">
        <v>344</v>
      </c>
      <c r="B180" s="7" t="s">
        <v>351</v>
      </c>
      <c r="C180" s="7" t="s">
        <v>346</v>
      </c>
      <c r="D180" s="7" t="s">
        <v>12</v>
      </c>
      <c r="E180" s="8" t="n">
        <v>201</v>
      </c>
      <c r="F180" s="7" t="s">
        <v>352</v>
      </c>
    </row>
    <row r="181" customFormat="false" ht="15" hidden="false" customHeight="false" outlineLevel="0" collapsed="false">
      <c r="A181" s="7" t="s">
        <v>344</v>
      </c>
      <c r="B181" s="7" t="s">
        <v>353</v>
      </c>
      <c r="C181" s="7" t="s">
        <v>346</v>
      </c>
      <c r="D181" s="7" t="s">
        <v>12</v>
      </c>
      <c r="E181" s="8" t="n">
        <v>61</v>
      </c>
      <c r="F181" s="7" t="s">
        <v>349</v>
      </c>
    </row>
    <row r="182" customFormat="false" ht="15" hidden="false" customHeight="false" outlineLevel="0" collapsed="false">
      <c r="A182" s="7" t="s">
        <v>354</v>
      </c>
      <c r="B182" s="7" t="s">
        <v>355</v>
      </c>
      <c r="C182" s="7" t="s">
        <v>346</v>
      </c>
      <c r="D182" s="7" t="s">
        <v>22</v>
      </c>
      <c r="E182" s="8" t="n">
        <v>5</v>
      </c>
      <c r="F182" s="7"/>
    </row>
    <row r="183" customFormat="false" ht="15" hidden="false" customHeight="false" outlineLevel="0" collapsed="false">
      <c r="A183" s="7" t="s">
        <v>354</v>
      </c>
      <c r="B183" s="7" t="s">
        <v>356</v>
      </c>
      <c r="C183" s="7" t="s">
        <v>346</v>
      </c>
      <c r="D183" s="7" t="s">
        <v>22</v>
      </c>
      <c r="E183" s="8" t="n">
        <v>3</v>
      </c>
      <c r="F183" s="7"/>
    </row>
    <row r="184" customFormat="false" ht="15" hidden="false" customHeight="false" outlineLevel="0" collapsed="false">
      <c r="A184" s="7" t="s">
        <v>357</v>
      </c>
      <c r="B184" s="7" t="s">
        <v>358</v>
      </c>
      <c r="C184" s="7" t="s">
        <v>346</v>
      </c>
      <c r="D184" s="7" t="s">
        <v>22</v>
      </c>
      <c r="E184" s="8" t="n">
        <v>5</v>
      </c>
      <c r="F184" s="7"/>
    </row>
    <row r="185" customFormat="false" ht="15" hidden="false" customHeight="false" outlineLevel="0" collapsed="false">
      <c r="A185" s="7" t="s">
        <v>88</v>
      </c>
      <c r="B185" s="7" t="s">
        <v>359</v>
      </c>
      <c r="C185" s="7" t="s">
        <v>346</v>
      </c>
      <c r="D185" s="7" t="s">
        <v>12</v>
      </c>
      <c r="E185" s="8" t="n">
        <v>90</v>
      </c>
      <c r="F185" s="7" t="s">
        <v>360</v>
      </c>
    </row>
    <row r="186" customFormat="false" ht="15" hidden="false" customHeight="false" outlineLevel="0" collapsed="false">
      <c r="A186" s="7" t="s">
        <v>361</v>
      </c>
      <c r="B186" s="7" t="s">
        <v>362</v>
      </c>
      <c r="C186" s="7" t="s">
        <v>346</v>
      </c>
      <c r="D186" s="7" t="s">
        <v>12</v>
      </c>
      <c r="E186" s="8" t="n">
        <v>22</v>
      </c>
      <c r="F186" s="7"/>
    </row>
    <row r="187" customFormat="false" ht="15" hidden="false" customHeight="false" outlineLevel="0" collapsed="false">
      <c r="A187" s="7" t="s">
        <v>363</v>
      </c>
      <c r="B187" s="7" t="s">
        <v>364</v>
      </c>
      <c r="C187" s="7" t="s">
        <v>346</v>
      </c>
      <c r="D187" s="7" t="s">
        <v>22</v>
      </c>
      <c r="E187" s="8" t="n">
        <v>13</v>
      </c>
      <c r="F187" s="7"/>
    </row>
    <row r="188" customFormat="false" ht="15" hidden="false" customHeight="false" outlineLevel="0" collapsed="false">
      <c r="A188" s="7" t="s">
        <v>363</v>
      </c>
      <c r="B188" s="7" t="s">
        <v>365</v>
      </c>
      <c r="C188" s="7" t="s">
        <v>346</v>
      </c>
      <c r="D188" s="7" t="s">
        <v>18</v>
      </c>
      <c r="E188" s="8" t="n">
        <v>81</v>
      </c>
      <c r="F188" s="7"/>
    </row>
    <row r="189" customFormat="false" ht="15" hidden="false" customHeight="false" outlineLevel="0" collapsed="false">
      <c r="A189" s="7" t="s">
        <v>366</v>
      </c>
      <c r="B189" s="7" t="s">
        <v>367</v>
      </c>
      <c r="C189" s="7" t="s">
        <v>346</v>
      </c>
      <c r="D189" s="7" t="s">
        <v>22</v>
      </c>
      <c r="E189" s="8" t="n">
        <v>5</v>
      </c>
      <c r="F189" s="7"/>
    </row>
    <row r="190" customFormat="false" ht="15" hidden="false" customHeight="false" outlineLevel="0" collapsed="false">
      <c r="A190" s="7" t="s">
        <v>366</v>
      </c>
      <c r="B190" s="7" t="s">
        <v>368</v>
      </c>
      <c r="C190" s="7" t="s">
        <v>346</v>
      </c>
      <c r="D190" s="7" t="s">
        <v>22</v>
      </c>
      <c r="E190" s="8" t="n">
        <v>2</v>
      </c>
      <c r="F190" s="7"/>
    </row>
    <row r="191" customFormat="false" ht="15" hidden="false" customHeight="false" outlineLevel="0" collapsed="false">
      <c r="A191" s="7" t="s">
        <v>110</v>
      </c>
      <c r="B191" s="7" t="s">
        <v>369</v>
      </c>
      <c r="C191" s="7" t="s">
        <v>346</v>
      </c>
      <c r="D191" s="7" t="s">
        <v>22</v>
      </c>
      <c r="E191" s="8" t="n">
        <v>11</v>
      </c>
      <c r="F191" s="7"/>
    </row>
    <row r="192" customFormat="false" ht="15" hidden="false" customHeight="false" outlineLevel="0" collapsed="false">
      <c r="A192" s="7" t="s">
        <v>113</v>
      </c>
      <c r="B192" s="7" t="s">
        <v>370</v>
      </c>
      <c r="C192" s="7" t="s">
        <v>346</v>
      </c>
      <c r="D192" s="7" t="s">
        <v>12</v>
      </c>
      <c r="E192" s="8" t="n">
        <v>80</v>
      </c>
      <c r="F192" s="7" t="s">
        <v>371</v>
      </c>
    </row>
    <row r="193" customFormat="false" ht="15" hidden="false" customHeight="false" outlineLevel="0" collapsed="false">
      <c r="A193" s="7" t="s">
        <v>113</v>
      </c>
      <c r="B193" s="7" t="s">
        <v>372</v>
      </c>
      <c r="C193" s="7" t="s">
        <v>346</v>
      </c>
      <c r="D193" s="7" t="s">
        <v>12</v>
      </c>
      <c r="E193" s="8" t="n">
        <v>4</v>
      </c>
      <c r="F193" s="7" t="s">
        <v>373</v>
      </c>
    </row>
    <row r="194" customFormat="false" ht="15" hidden="false" customHeight="false" outlineLevel="0" collapsed="false">
      <c r="A194" s="7" t="s">
        <v>50</v>
      </c>
      <c r="B194" s="7" t="s">
        <v>374</v>
      </c>
      <c r="C194" s="7" t="s">
        <v>346</v>
      </c>
      <c r="D194" s="7" t="s">
        <v>18</v>
      </c>
      <c r="E194" s="8" t="n">
        <v>126</v>
      </c>
      <c r="F194" s="7" t="s">
        <v>375</v>
      </c>
    </row>
    <row r="195" customFormat="false" ht="15" hidden="false" customHeight="false" outlineLevel="0" collapsed="false">
      <c r="A195" s="7" t="s">
        <v>206</v>
      </c>
      <c r="B195" s="7" t="s">
        <v>376</v>
      </c>
      <c r="C195" s="7" t="s">
        <v>346</v>
      </c>
      <c r="D195" s="7" t="s">
        <v>12</v>
      </c>
      <c r="E195" s="8" t="n">
        <v>16</v>
      </c>
      <c r="F195" s="7" t="s">
        <v>377</v>
      </c>
    </row>
    <row r="196" customFormat="false" ht="15" hidden="false" customHeight="false" outlineLevel="0" collapsed="false">
      <c r="A196" s="7" t="s">
        <v>206</v>
      </c>
      <c r="B196" s="7" t="s">
        <v>378</v>
      </c>
      <c r="C196" s="7" t="s">
        <v>346</v>
      </c>
      <c r="D196" s="7" t="s">
        <v>12</v>
      </c>
      <c r="E196" s="8" t="n">
        <v>18</v>
      </c>
      <c r="F196" s="7" t="s">
        <v>379</v>
      </c>
    </row>
    <row r="197" customFormat="false" ht="15" hidden="false" customHeight="false" outlineLevel="0" collapsed="false">
      <c r="A197" s="7" t="s">
        <v>206</v>
      </c>
      <c r="B197" s="7" t="s">
        <v>380</v>
      </c>
      <c r="C197" s="7" t="s">
        <v>346</v>
      </c>
      <c r="D197" s="7" t="s">
        <v>12</v>
      </c>
      <c r="E197" s="8" t="n">
        <v>5</v>
      </c>
      <c r="F197" s="7" t="s">
        <v>381</v>
      </c>
    </row>
    <row r="198" customFormat="false" ht="15" hidden="false" customHeight="false" outlineLevel="0" collapsed="false">
      <c r="A198" s="7" t="s">
        <v>206</v>
      </c>
      <c r="B198" s="7" t="s">
        <v>382</v>
      </c>
      <c r="C198" s="7" t="s">
        <v>346</v>
      </c>
      <c r="D198" s="7" t="s">
        <v>12</v>
      </c>
      <c r="E198" s="8" t="n">
        <v>5</v>
      </c>
      <c r="F198" s="7" t="s">
        <v>383</v>
      </c>
    </row>
    <row r="199" customFormat="false" ht="15" hidden="false" customHeight="false" outlineLevel="0" collapsed="false">
      <c r="A199" s="7" t="s">
        <v>206</v>
      </c>
      <c r="B199" s="7" t="s">
        <v>384</v>
      </c>
      <c r="C199" s="7" t="s">
        <v>346</v>
      </c>
      <c r="D199" s="7" t="s">
        <v>12</v>
      </c>
      <c r="E199" s="8" t="n">
        <v>16</v>
      </c>
      <c r="F199" s="7" t="s">
        <v>385</v>
      </c>
    </row>
    <row r="200" customFormat="false" ht="15" hidden="false" customHeight="false" outlineLevel="0" collapsed="false">
      <c r="A200" s="7" t="s">
        <v>206</v>
      </c>
      <c r="B200" s="7" t="s">
        <v>386</v>
      </c>
      <c r="C200" s="7" t="s">
        <v>346</v>
      </c>
      <c r="D200" s="7" t="s">
        <v>22</v>
      </c>
      <c r="E200" s="8" t="n">
        <v>14</v>
      </c>
      <c r="F200" s="7" t="s">
        <v>387</v>
      </c>
    </row>
    <row r="201" customFormat="false" ht="15" hidden="false" customHeight="false" outlineLevel="0" collapsed="false">
      <c r="A201" s="7" t="s">
        <v>388</v>
      </c>
      <c r="B201" s="7" t="s">
        <v>389</v>
      </c>
      <c r="C201" s="7" t="s">
        <v>346</v>
      </c>
      <c r="D201" s="7" t="s">
        <v>22</v>
      </c>
      <c r="E201" s="8" t="n">
        <v>7</v>
      </c>
      <c r="F201" s="7" t="s">
        <v>390</v>
      </c>
    </row>
    <row r="202" customFormat="false" ht="15" hidden="false" customHeight="false" outlineLevel="0" collapsed="false">
      <c r="A202" s="7" t="s">
        <v>248</v>
      </c>
      <c r="B202" s="7" t="s">
        <v>391</v>
      </c>
      <c r="C202" s="7" t="s">
        <v>346</v>
      </c>
      <c r="D202" s="7" t="s">
        <v>22</v>
      </c>
      <c r="E202" s="8" t="n">
        <v>17</v>
      </c>
      <c r="F202" s="7" t="s">
        <v>392</v>
      </c>
    </row>
    <row r="203" customFormat="false" ht="15" hidden="false" customHeight="false" outlineLevel="0" collapsed="false">
      <c r="A203" s="7" t="s">
        <v>248</v>
      </c>
      <c r="B203" s="7" t="s">
        <v>393</v>
      </c>
      <c r="C203" s="7" t="s">
        <v>346</v>
      </c>
      <c r="D203" s="7" t="s">
        <v>22</v>
      </c>
      <c r="E203" s="8" t="n">
        <v>14</v>
      </c>
      <c r="F203" s="7" t="s">
        <v>394</v>
      </c>
    </row>
    <row r="204" customFormat="false" ht="15" hidden="false" customHeight="false" outlineLevel="0" collapsed="false">
      <c r="A204" s="7" t="s">
        <v>395</v>
      </c>
      <c r="B204" s="7" t="s">
        <v>396</v>
      </c>
      <c r="C204" s="7" t="s">
        <v>346</v>
      </c>
      <c r="D204" s="7" t="s">
        <v>12</v>
      </c>
      <c r="E204" s="8" t="n">
        <v>399</v>
      </c>
      <c r="F204" s="7" t="s">
        <v>397</v>
      </c>
    </row>
    <row r="205" customFormat="false" ht="15" hidden="false" customHeight="false" outlineLevel="0" collapsed="false">
      <c r="A205" s="7" t="s">
        <v>273</v>
      </c>
      <c r="B205" s="7" t="s">
        <v>398</v>
      </c>
      <c r="C205" s="7" t="s">
        <v>346</v>
      </c>
      <c r="D205" s="7" t="s">
        <v>12</v>
      </c>
      <c r="E205" s="8" t="n">
        <v>20</v>
      </c>
      <c r="F205" s="7" t="s">
        <v>399</v>
      </c>
    </row>
    <row r="206" customFormat="false" ht="15" hidden="false" customHeight="false" outlineLevel="0" collapsed="false">
      <c r="A206" s="7" t="s">
        <v>273</v>
      </c>
      <c r="B206" s="7" t="s">
        <v>400</v>
      </c>
      <c r="C206" s="7" t="s">
        <v>346</v>
      </c>
      <c r="D206" s="7" t="s">
        <v>12</v>
      </c>
      <c r="E206" s="8" t="n">
        <v>20</v>
      </c>
      <c r="F206" s="7" t="s">
        <v>401</v>
      </c>
    </row>
    <row r="207" customFormat="false" ht="15" hidden="false" customHeight="false" outlineLevel="0" collapsed="false">
      <c r="A207" s="7" t="s">
        <v>273</v>
      </c>
      <c r="B207" s="7" t="s">
        <v>402</v>
      </c>
      <c r="C207" s="7" t="s">
        <v>346</v>
      </c>
      <c r="D207" s="7" t="s">
        <v>12</v>
      </c>
      <c r="E207" s="8" t="n">
        <v>20</v>
      </c>
      <c r="F207" s="7" t="s">
        <v>403</v>
      </c>
    </row>
    <row r="208" customFormat="false" ht="15" hidden="false" customHeight="false" outlineLevel="0" collapsed="false">
      <c r="A208" s="7" t="s">
        <v>273</v>
      </c>
      <c r="B208" s="7" t="s">
        <v>404</v>
      </c>
      <c r="C208" s="7" t="s">
        <v>346</v>
      </c>
      <c r="D208" s="7" t="s">
        <v>12</v>
      </c>
      <c r="E208" s="8" t="n">
        <v>90</v>
      </c>
      <c r="F208" s="7" t="s">
        <v>405</v>
      </c>
    </row>
    <row r="209" customFormat="false" ht="15" hidden="false" customHeight="false" outlineLevel="0" collapsed="false">
      <c r="A209" s="7" t="s">
        <v>273</v>
      </c>
      <c r="B209" s="7" t="s">
        <v>406</v>
      </c>
      <c r="C209" s="7" t="s">
        <v>346</v>
      </c>
      <c r="D209" s="7" t="s">
        <v>12</v>
      </c>
      <c r="E209" s="8" t="n">
        <v>15</v>
      </c>
      <c r="F209" s="7" t="s">
        <v>407</v>
      </c>
    </row>
    <row r="210" customFormat="false" ht="15" hidden="false" customHeight="false" outlineLevel="0" collapsed="false">
      <c r="A210" s="7" t="s">
        <v>273</v>
      </c>
      <c r="B210" s="7" t="s">
        <v>408</v>
      </c>
      <c r="C210" s="7" t="s">
        <v>346</v>
      </c>
      <c r="D210" s="7" t="s">
        <v>12</v>
      </c>
      <c r="E210" s="8" t="n">
        <v>70</v>
      </c>
      <c r="F210" s="7" t="s">
        <v>409</v>
      </c>
    </row>
    <row r="211" customFormat="false" ht="15" hidden="false" customHeight="false" outlineLevel="0" collapsed="false">
      <c r="A211" s="7" t="s">
        <v>273</v>
      </c>
      <c r="B211" s="7" t="s">
        <v>410</v>
      </c>
      <c r="C211" s="7" t="s">
        <v>346</v>
      </c>
      <c r="D211" s="7" t="s">
        <v>12</v>
      </c>
      <c r="E211" s="8" t="n">
        <v>20</v>
      </c>
      <c r="F211" s="7" t="s">
        <v>411</v>
      </c>
    </row>
    <row r="212" customFormat="false" ht="15" hidden="false" customHeight="false" outlineLevel="0" collapsed="false">
      <c r="A212" s="7" t="s">
        <v>412</v>
      </c>
      <c r="B212" s="7" t="s">
        <v>413</v>
      </c>
      <c r="C212" s="7" t="s">
        <v>346</v>
      </c>
      <c r="D212" s="7" t="s">
        <v>12</v>
      </c>
      <c r="E212" s="8" t="n">
        <v>3</v>
      </c>
      <c r="F212" s="7"/>
    </row>
    <row r="213" customFormat="false" ht="15" hidden="false" customHeight="false" outlineLevel="0" collapsed="false">
      <c r="A213" s="7" t="s">
        <v>414</v>
      </c>
      <c r="B213" s="7" t="s">
        <v>415</v>
      </c>
      <c r="C213" s="7" t="s">
        <v>346</v>
      </c>
      <c r="D213" s="7" t="s">
        <v>12</v>
      </c>
      <c r="E213" s="8" t="n">
        <v>18</v>
      </c>
      <c r="F213" s="7"/>
    </row>
    <row r="214" customFormat="false" ht="15" hidden="false" customHeight="false" outlineLevel="0" collapsed="false">
      <c r="A214" s="7" t="s">
        <v>416</v>
      </c>
      <c r="B214" s="7" t="s">
        <v>417</v>
      </c>
      <c r="C214" s="7" t="s">
        <v>346</v>
      </c>
      <c r="D214" s="7" t="s">
        <v>12</v>
      </c>
      <c r="E214" s="8" t="n">
        <v>20</v>
      </c>
      <c r="F214" s="7"/>
    </row>
    <row r="215" customFormat="false" ht="15" hidden="false" customHeight="false" outlineLevel="0" collapsed="false">
      <c r="A215" s="7" t="s">
        <v>278</v>
      </c>
      <c r="B215" s="7" t="s">
        <v>418</v>
      </c>
      <c r="C215" s="7" t="s">
        <v>346</v>
      </c>
      <c r="D215" s="7" t="s">
        <v>12</v>
      </c>
      <c r="E215" s="8" t="n">
        <v>45</v>
      </c>
      <c r="F215" s="7"/>
    </row>
    <row r="216" customFormat="false" ht="15" hidden="false" customHeight="false" outlineLevel="0" collapsed="false">
      <c r="A216" s="7" t="s">
        <v>419</v>
      </c>
      <c r="B216" s="7" t="s">
        <v>420</v>
      </c>
      <c r="C216" s="7" t="s">
        <v>346</v>
      </c>
      <c r="D216" s="7" t="s">
        <v>12</v>
      </c>
      <c r="E216" s="8" t="n">
        <v>44</v>
      </c>
      <c r="F216" s="7"/>
    </row>
    <row r="217" customFormat="false" ht="15" hidden="false" customHeight="false" outlineLevel="0" collapsed="false">
      <c r="A217" s="7" t="s">
        <v>419</v>
      </c>
      <c r="B217" s="7" t="s">
        <v>420</v>
      </c>
      <c r="C217" s="7" t="s">
        <v>346</v>
      </c>
      <c r="D217" s="7" t="s">
        <v>12</v>
      </c>
      <c r="E217" s="8" t="n">
        <v>44</v>
      </c>
      <c r="F217" s="7"/>
    </row>
    <row r="218" customFormat="false" ht="15" hidden="false" customHeight="false" outlineLevel="0" collapsed="false">
      <c r="A218" s="7" t="s">
        <v>421</v>
      </c>
      <c r="B218" s="7" t="s">
        <v>422</v>
      </c>
      <c r="C218" s="7" t="s">
        <v>346</v>
      </c>
      <c r="D218" s="7" t="s">
        <v>12</v>
      </c>
      <c r="E218" s="8" t="n">
        <v>132</v>
      </c>
      <c r="F218" s="7"/>
    </row>
    <row r="219" customFormat="false" ht="15" hidden="false" customHeight="false" outlineLevel="0" collapsed="false">
      <c r="A219" s="7" t="s">
        <v>423</v>
      </c>
      <c r="B219" s="7" t="s">
        <v>424</v>
      </c>
      <c r="C219" s="7" t="s">
        <v>346</v>
      </c>
      <c r="D219" s="7" t="s">
        <v>12</v>
      </c>
      <c r="E219" s="8" t="n">
        <v>22</v>
      </c>
      <c r="F219" s="7"/>
    </row>
    <row r="220" customFormat="false" ht="15" hidden="false" customHeight="false" outlineLevel="0" collapsed="false">
      <c r="A220" s="7" t="s">
        <v>423</v>
      </c>
      <c r="B220" s="7" t="s">
        <v>425</v>
      </c>
      <c r="C220" s="7" t="s">
        <v>346</v>
      </c>
      <c r="D220" s="7" t="s">
        <v>12</v>
      </c>
      <c r="E220" s="8" t="n">
        <v>8</v>
      </c>
      <c r="F220" s="7"/>
    </row>
    <row r="221" customFormat="false" ht="15" hidden="false" customHeight="false" outlineLevel="0" collapsed="false">
      <c r="A221" s="7" t="s">
        <v>423</v>
      </c>
      <c r="B221" s="7" t="s">
        <v>426</v>
      </c>
      <c r="C221" s="7" t="s">
        <v>346</v>
      </c>
      <c r="D221" s="7" t="s">
        <v>12</v>
      </c>
      <c r="E221" s="8" t="n">
        <v>170</v>
      </c>
      <c r="F221" s="7"/>
    </row>
    <row r="222" customFormat="false" ht="15" hidden="false" customHeight="false" outlineLevel="0" collapsed="false">
      <c r="A222" s="7" t="s">
        <v>427</v>
      </c>
      <c r="B222" s="7" t="s">
        <v>428</v>
      </c>
      <c r="C222" s="7" t="s">
        <v>346</v>
      </c>
      <c r="D222" s="7" t="s">
        <v>12</v>
      </c>
      <c r="E222" s="8" t="n">
        <v>87</v>
      </c>
      <c r="F222" s="7"/>
    </row>
    <row r="223" customFormat="false" ht="15" hidden="false" customHeight="false" outlineLevel="0" collapsed="false">
      <c r="A223" s="7" t="s">
        <v>302</v>
      </c>
      <c r="B223" s="7" t="s">
        <v>429</v>
      </c>
      <c r="C223" s="7" t="s">
        <v>346</v>
      </c>
      <c r="D223" s="7" t="s">
        <v>12</v>
      </c>
      <c r="E223" s="8" t="n">
        <v>16</v>
      </c>
      <c r="F223" s="7"/>
    </row>
    <row r="224" customFormat="false" ht="15" hidden="false" customHeight="false" outlineLevel="0" collapsed="false">
      <c r="A224" s="7" t="s">
        <v>430</v>
      </c>
      <c r="B224" s="7" t="s">
        <v>431</v>
      </c>
      <c r="C224" s="7" t="s">
        <v>346</v>
      </c>
      <c r="D224" s="7" t="s">
        <v>12</v>
      </c>
      <c r="E224" s="8" t="n">
        <v>38</v>
      </c>
      <c r="F224" s="7"/>
    </row>
    <row r="225" customFormat="false" ht="15" hidden="false" customHeight="false" outlineLevel="0" collapsed="false">
      <c r="A225" s="7" t="s">
        <v>432</v>
      </c>
      <c r="B225" s="7" t="s">
        <v>433</v>
      </c>
      <c r="C225" s="7" t="s">
        <v>346</v>
      </c>
      <c r="D225" s="7" t="s">
        <v>12</v>
      </c>
      <c r="E225" s="8" t="n">
        <v>8</v>
      </c>
      <c r="F225" s="7"/>
    </row>
    <row r="227" customFormat="false" ht="15" hidden="false" customHeight="false" outlineLevel="0" collapsed="false">
      <c r="A227" s="4" t="s">
        <v>434</v>
      </c>
      <c r="B227" s="4"/>
      <c r="C227" s="4"/>
      <c r="D227" s="4"/>
      <c r="E227" s="5" t="n">
        <f aca="false">SUM(E228:E243)</f>
        <v>1764</v>
      </c>
      <c r="F227" s="6"/>
    </row>
    <row r="228" customFormat="false" ht="15" hidden="false" customHeight="false" outlineLevel="0" collapsed="false">
      <c r="A228" s="7" t="s">
        <v>206</v>
      </c>
      <c r="B228" s="7" t="s">
        <v>435</v>
      </c>
      <c r="C228" s="7" t="s">
        <v>436</v>
      </c>
      <c r="D228" s="7" t="s">
        <v>12</v>
      </c>
      <c r="E228" s="8" t="n">
        <v>120</v>
      </c>
      <c r="F228" s="7" t="s">
        <v>437</v>
      </c>
    </row>
    <row r="229" customFormat="false" ht="15" hidden="false" customHeight="false" outlineLevel="0" collapsed="false">
      <c r="A229" s="7" t="s">
        <v>227</v>
      </c>
      <c r="B229" s="7" t="s">
        <v>435</v>
      </c>
      <c r="C229" s="7" t="s">
        <v>436</v>
      </c>
      <c r="D229" s="7" t="s">
        <v>12</v>
      </c>
      <c r="E229" s="8" t="n">
        <v>120</v>
      </c>
      <c r="F229" s="7" t="s">
        <v>437</v>
      </c>
    </row>
    <row r="230" customFormat="false" ht="15" hidden="false" customHeight="false" outlineLevel="0" collapsed="false">
      <c r="A230" s="7" t="s">
        <v>234</v>
      </c>
      <c r="B230" s="7" t="s">
        <v>438</v>
      </c>
      <c r="C230" s="7" t="s">
        <v>436</v>
      </c>
      <c r="D230" s="7" t="s">
        <v>12</v>
      </c>
      <c r="E230" s="8" t="n">
        <v>7</v>
      </c>
      <c r="F230" s="7" t="s">
        <v>439</v>
      </c>
    </row>
    <row r="231" customFormat="false" ht="15" hidden="false" customHeight="false" outlineLevel="0" collapsed="false">
      <c r="A231" s="7" t="s">
        <v>234</v>
      </c>
      <c r="B231" s="7" t="s">
        <v>440</v>
      </c>
      <c r="C231" s="7" t="s">
        <v>436</v>
      </c>
      <c r="D231" s="7" t="s">
        <v>12</v>
      </c>
      <c r="E231" s="8" t="n">
        <v>43</v>
      </c>
      <c r="F231" s="7" t="s">
        <v>441</v>
      </c>
    </row>
    <row r="232" customFormat="false" ht="15" hidden="false" customHeight="false" outlineLevel="0" collapsed="false">
      <c r="A232" s="7" t="s">
        <v>241</v>
      </c>
      <c r="B232" s="7" t="s">
        <v>442</v>
      </c>
      <c r="C232" s="7" t="s">
        <v>436</v>
      </c>
      <c r="D232" s="7" t="s">
        <v>12</v>
      </c>
      <c r="E232" s="8" t="n">
        <v>7</v>
      </c>
      <c r="F232" s="7" t="s">
        <v>443</v>
      </c>
    </row>
    <row r="233" customFormat="false" ht="15" hidden="false" customHeight="false" outlineLevel="0" collapsed="false">
      <c r="A233" s="7" t="s">
        <v>241</v>
      </c>
      <c r="B233" s="7" t="s">
        <v>444</v>
      </c>
      <c r="C233" s="7" t="s">
        <v>436</v>
      </c>
      <c r="D233" s="7" t="s">
        <v>12</v>
      </c>
      <c r="E233" s="8" t="n">
        <v>43</v>
      </c>
      <c r="F233" s="7" t="s">
        <v>445</v>
      </c>
    </row>
    <row r="234" customFormat="false" ht="15" hidden="false" customHeight="false" outlineLevel="0" collapsed="false">
      <c r="A234" s="7" t="s">
        <v>446</v>
      </c>
      <c r="B234" s="7" t="s">
        <v>447</v>
      </c>
      <c r="C234" s="7" t="s">
        <v>436</v>
      </c>
      <c r="D234" s="7" t="s">
        <v>12</v>
      </c>
      <c r="E234" s="8" t="n">
        <v>14</v>
      </c>
      <c r="F234" s="7" t="s">
        <v>448</v>
      </c>
    </row>
    <row r="235" customFormat="false" ht="15" hidden="false" customHeight="false" outlineLevel="0" collapsed="false">
      <c r="A235" s="7" t="s">
        <v>449</v>
      </c>
      <c r="B235" s="7" t="s">
        <v>450</v>
      </c>
      <c r="C235" s="7" t="s">
        <v>436</v>
      </c>
      <c r="D235" s="7" t="s">
        <v>12</v>
      </c>
      <c r="E235" s="8" t="n">
        <v>238</v>
      </c>
      <c r="F235" s="7"/>
    </row>
    <row r="236" customFormat="false" ht="15" hidden="false" customHeight="false" outlineLevel="0" collapsed="false">
      <c r="A236" s="7" t="s">
        <v>449</v>
      </c>
      <c r="B236" s="7" t="s">
        <v>451</v>
      </c>
      <c r="C236" s="7" t="s">
        <v>436</v>
      </c>
      <c r="D236" s="7" t="s">
        <v>12</v>
      </c>
      <c r="E236" s="8" t="n">
        <v>898</v>
      </c>
      <c r="F236" s="7"/>
    </row>
    <row r="237" customFormat="false" ht="15" hidden="false" customHeight="false" outlineLevel="0" collapsed="false">
      <c r="A237" s="7" t="s">
        <v>449</v>
      </c>
      <c r="B237" s="7" t="s">
        <v>452</v>
      </c>
      <c r="C237" s="7" t="s">
        <v>436</v>
      </c>
      <c r="D237" s="7" t="s">
        <v>12</v>
      </c>
      <c r="E237" s="8" t="n">
        <v>0</v>
      </c>
      <c r="F237" s="7"/>
    </row>
    <row r="238" customFormat="false" ht="15" hidden="false" customHeight="false" outlineLevel="0" collapsed="false">
      <c r="A238" s="7" t="s">
        <v>60</v>
      </c>
      <c r="B238" s="7" t="s">
        <v>453</v>
      </c>
      <c r="C238" s="7" t="s">
        <v>436</v>
      </c>
      <c r="D238" s="7" t="s">
        <v>12</v>
      </c>
      <c r="E238" s="8" t="n">
        <v>79</v>
      </c>
      <c r="F238" s="7"/>
    </row>
    <row r="239" customFormat="false" ht="15" hidden="false" customHeight="false" outlineLevel="0" collapsed="false">
      <c r="A239" s="7" t="s">
        <v>454</v>
      </c>
      <c r="B239" s="7" t="s">
        <v>455</v>
      </c>
      <c r="C239" s="7" t="s">
        <v>436</v>
      </c>
      <c r="D239" s="7" t="s">
        <v>12</v>
      </c>
      <c r="E239" s="8" t="n">
        <v>97</v>
      </c>
      <c r="F239" s="7"/>
    </row>
    <row r="240" customFormat="false" ht="15" hidden="false" customHeight="false" outlineLevel="0" collapsed="false">
      <c r="A240" s="7" t="s">
        <v>456</v>
      </c>
      <c r="B240" s="7" t="s">
        <v>457</v>
      </c>
      <c r="C240" s="7" t="s">
        <v>436</v>
      </c>
      <c r="D240" s="7" t="s">
        <v>22</v>
      </c>
      <c r="E240" s="8" t="n">
        <v>49</v>
      </c>
      <c r="F240" s="7"/>
    </row>
    <row r="241" customFormat="false" ht="15" hidden="false" customHeight="false" outlineLevel="0" collapsed="false">
      <c r="A241" s="7" t="s">
        <v>458</v>
      </c>
      <c r="B241" s="7" t="s">
        <v>459</v>
      </c>
      <c r="C241" s="7" t="s">
        <v>436</v>
      </c>
      <c r="D241" s="7" t="s">
        <v>22</v>
      </c>
      <c r="E241" s="8" t="n">
        <v>9</v>
      </c>
      <c r="F241" s="7"/>
    </row>
    <row r="242" customFormat="false" ht="15" hidden="false" customHeight="false" outlineLevel="0" collapsed="false">
      <c r="A242" s="7" t="s">
        <v>460</v>
      </c>
      <c r="B242" s="7" t="s">
        <v>461</v>
      </c>
      <c r="C242" s="7" t="s">
        <v>436</v>
      </c>
      <c r="D242" s="7" t="s">
        <v>22</v>
      </c>
      <c r="E242" s="8" t="n">
        <v>20</v>
      </c>
      <c r="F242" s="7"/>
    </row>
    <row r="243" customFormat="false" ht="15" hidden="false" customHeight="false" outlineLevel="0" collapsed="false">
      <c r="A243" s="7" t="s">
        <v>460</v>
      </c>
      <c r="B243" s="7" t="s">
        <v>462</v>
      </c>
      <c r="C243" s="7" t="s">
        <v>436</v>
      </c>
      <c r="D243" s="7" t="s">
        <v>22</v>
      </c>
      <c r="E243" s="8" t="n">
        <v>20</v>
      </c>
      <c r="F243" s="7"/>
    </row>
    <row r="245" customFormat="false" ht="15" hidden="false" customHeight="false" outlineLevel="0" collapsed="false">
      <c r="A245" s="4" t="s">
        <v>463</v>
      </c>
      <c r="B245" s="4"/>
      <c r="C245" s="4"/>
      <c r="D245" s="4"/>
      <c r="E245" s="5" t="n">
        <f aca="false">SUM(E246:E250)</f>
        <v>1658</v>
      </c>
      <c r="F245" s="6"/>
    </row>
    <row r="246" customFormat="false" ht="15" hidden="false" customHeight="false" outlineLevel="0" collapsed="false">
      <c r="A246" s="7" t="s">
        <v>464</v>
      </c>
      <c r="B246" s="7" t="s">
        <v>465</v>
      </c>
      <c r="C246" s="7" t="s">
        <v>466</v>
      </c>
      <c r="D246" s="7" t="s">
        <v>22</v>
      </c>
      <c r="E246" s="8" t="n">
        <v>39</v>
      </c>
      <c r="F246" s="7"/>
    </row>
    <row r="247" customFormat="false" ht="15" hidden="false" customHeight="false" outlineLevel="0" collapsed="false">
      <c r="A247" s="7" t="s">
        <v>31</v>
      </c>
      <c r="B247" s="7" t="s">
        <v>467</v>
      </c>
      <c r="C247" s="7" t="s">
        <v>466</v>
      </c>
      <c r="D247" s="7" t="s">
        <v>12</v>
      </c>
      <c r="E247" s="8" t="n">
        <v>1557</v>
      </c>
      <c r="F247" s="7" t="s">
        <v>468</v>
      </c>
    </row>
    <row r="248" customFormat="false" ht="15" hidden="false" customHeight="false" outlineLevel="0" collapsed="false">
      <c r="A248" s="7" t="s">
        <v>206</v>
      </c>
      <c r="B248" s="7" t="s">
        <v>469</v>
      </c>
      <c r="C248" s="7" t="s">
        <v>466</v>
      </c>
      <c r="D248" s="7" t="s">
        <v>12</v>
      </c>
      <c r="E248" s="8" t="n">
        <v>35</v>
      </c>
      <c r="F248" s="7" t="s">
        <v>470</v>
      </c>
    </row>
    <row r="249" customFormat="false" ht="15" hidden="false" customHeight="false" outlineLevel="0" collapsed="false">
      <c r="A249" s="7" t="s">
        <v>234</v>
      </c>
      <c r="B249" s="7" t="s">
        <v>471</v>
      </c>
      <c r="C249" s="7" t="s">
        <v>466</v>
      </c>
      <c r="D249" s="7" t="s">
        <v>22</v>
      </c>
      <c r="E249" s="8" t="n">
        <v>13</v>
      </c>
      <c r="F249" s="7" t="s">
        <v>472</v>
      </c>
    </row>
    <row r="250" customFormat="false" ht="15" hidden="false" customHeight="false" outlineLevel="0" collapsed="false">
      <c r="A250" s="7" t="s">
        <v>473</v>
      </c>
      <c r="B250" s="7" t="s">
        <v>474</v>
      </c>
      <c r="C250" s="7" t="s">
        <v>466</v>
      </c>
      <c r="D250" s="7" t="s">
        <v>22</v>
      </c>
      <c r="E250" s="8" t="n">
        <v>14</v>
      </c>
      <c r="F250" s="7" t="s">
        <v>475</v>
      </c>
    </row>
    <row r="252" customFormat="false" ht="15" hidden="false" customHeight="false" outlineLevel="0" collapsed="false">
      <c r="A252" s="4" t="s">
        <v>476</v>
      </c>
      <c r="B252" s="4"/>
      <c r="C252" s="4"/>
      <c r="D252" s="4"/>
      <c r="E252" s="5" t="n">
        <f aca="false">SUM(E253:E260)</f>
        <v>1499</v>
      </c>
      <c r="F252" s="6"/>
    </row>
    <row r="253" customFormat="false" ht="15" hidden="false" customHeight="false" outlineLevel="0" collapsed="false">
      <c r="A253" s="7" t="s">
        <v>113</v>
      </c>
      <c r="B253" s="7" t="s">
        <v>477</v>
      </c>
      <c r="C253" s="7" t="s">
        <v>478</v>
      </c>
      <c r="D253" s="7" t="s">
        <v>22</v>
      </c>
      <c r="E253" s="8" t="n">
        <v>10</v>
      </c>
      <c r="F253" s="7" t="s">
        <v>479</v>
      </c>
    </row>
    <row r="254" customFormat="false" ht="15" hidden="false" customHeight="false" outlineLevel="0" collapsed="false">
      <c r="A254" s="7" t="s">
        <v>113</v>
      </c>
      <c r="B254" s="7" t="s">
        <v>480</v>
      </c>
      <c r="C254" s="7" t="s">
        <v>478</v>
      </c>
      <c r="D254" s="7" t="s">
        <v>12</v>
      </c>
      <c r="E254" s="8" t="n">
        <v>170</v>
      </c>
      <c r="F254" s="7" t="s">
        <v>481</v>
      </c>
    </row>
    <row r="255" customFormat="false" ht="15" hidden="false" customHeight="false" outlineLevel="0" collapsed="false">
      <c r="A255" s="7" t="s">
        <v>464</v>
      </c>
      <c r="B255" s="7" t="s">
        <v>482</v>
      </c>
      <c r="C255" s="7" t="s">
        <v>478</v>
      </c>
      <c r="D255" s="7" t="s">
        <v>22</v>
      </c>
      <c r="E255" s="8" t="n">
        <v>2</v>
      </c>
      <c r="F255" s="7"/>
    </row>
    <row r="256" customFormat="false" ht="15" hidden="false" customHeight="false" outlineLevel="0" collapsed="false">
      <c r="A256" s="7" t="s">
        <v>256</v>
      </c>
      <c r="B256" s="7" t="s">
        <v>483</v>
      </c>
      <c r="C256" s="7" t="s">
        <v>478</v>
      </c>
      <c r="D256" s="7" t="s">
        <v>22</v>
      </c>
      <c r="E256" s="8" t="n">
        <v>5</v>
      </c>
      <c r="F256" s="7" t="s">
        <v>484</v>
      </c>
    </row>
    <row r="257" customFormat="false" ht="15" hidden="false" customHeight="false" outlineLevel="0" collapsed="false">
      <c r="A257" s="7" t="s">
        <v>485</v>
      </c>
      <c r="B257" s="7" t="s">
        <v>486</v>
      </c>
      <c r="C257" s="7" t="s">
        <v>478</v>
      </c>
      <c r="D257" s="7" t="s">
        <v>12</v>
      </c>
      <c r="E257" s="8" t="n">
        <v>1282</v>
      </c>
      <c r="F257" s="7" t="s">
        <v>487</v>
      </c>
    </row>
    <row r="258" customFormat="false" ht="15" hidden="false" customHeight="false" outlineLevel="0" collapsed="false">
      <c r="A258" s="7" t="s">
        <v>273</v>
      </c>
      <c r="B258" s="7" t="s">
        <v>488</v>
      </c>
      <c r="C258" s="7" t="s">
        <v>478</v>
      </c>
      <c r="D258" s="7" t="s">
        <v>22</v>
      </c>
      <c r="E258" s="8" t="n">
        <v>3</v>
      </c>
      <c r="F258" s="7" t="s">
        <v>489</v>
      </c>
    </row>
    <row r="259" customFormat="false" ht="15" hidden="false" customHeight="false" outlineLevel="0" collapsed="false">
      <c r="A259" s="7" t="s">
        <v>273</v>
      </c>
      <c r="B259" s="7" t="s">
        <v>490</v>
      </c>
      <c r="C259" s="7" t="s">
        <v>478</v>
      </c>
      <c r="D259" s="7" t="s">
        <v>12</v>
      </c>
      <c r="E259" s="8" t="n">
        <v>14</v>
      </c>
      <c r="F259" s="7" t="s">
        <v>491</v>
      </c>
    </row>
    <row r="260" customFormat="false" ht="15" hidden="false" customHeight="false" outlineLevel="0" collapsed="false">
      <c r="A260" s="7" t="s">
        <v>273</v>
      </c>
      <c r="B260" s="7" t="s">
        <v>490</v>
      </c>
      <c r="C260" s="7" t="s">
        <v>478</v>
      </c>
      <c r="D260" s="7" t="s">
        <v>12</v>
      </c>
      <c r="E260" s="8" t="n">
        <v>13</v>
      </c>
      <c r="F260" s="7" t="s">
        <v>492</v>
      </c>
    </row>
    <row r="262" customFormat="false" ht="15" hidden="false" customHeight="false" outlineLevel="0" collapsed="false">
      <c r="A262" s="4" t="s">
        <v>493</v>
      </c>
      <c r="B262" s="4"/>
      <c r="C262" s="4"/>
      <c r="D262" s="4"/>
      <c r="E262" s="5" t="n">
        <f aca="false">SUM(E263:E274)</f>
        <v>1255</v>
      </c>
      <c r="F262" s="6"/>
    </row>
    <row r="263" customFormat="false" ht="15" hidden="false" customHeight="false" outlineLevel="0" collapsed="false">
      <c r="A263" s="7" t="s">
        <v>494</v>
      </c>
      <c r="B263" s="7" t="s">
        <v>495</v>
      </c>
      <c r="C263" s="7" t="s">
        <v>496</v>
      </c>
      <c r="D263" s="7" t="s">
        <v>22</v>
      </c>
      <c r="E263" s="8" t="n">
        <v>4</v>
      </c>
      <c r="F263" s="7"/>
    </row>
    <row r="264" customFormat="false" ht="15" hidden="false" customHeight="false" outlineLevel="0" collapsed="false">
      <c r="A264" s="7" t="s">
        <v>329</v>
      </c>
      <c r="B264" s="7" t="s">
        <v>497</v>
      </c>
      <c r="C264" s="7" t="s">
        <v>496</v>
      </c>
      <c r="D264" s="7" t="s">
        <v>22</v>
      </c>
      <c r="E264" s="8" t="n">
        <v>7</v>
      </c>
      <c r="F264" s="7"/>
    </row>
    <row r="265" customFormat="false" ht="15" hidden="false" customHeight="false" outlineLevel="0" collapsed="false">
      <c r="A265" s="7" t="s">
        <v>498</v>
      </c>
      <c r="B265" s="7" t="s">
        <v>499</v>
      </c>
      <c r="C265" s="7" t="s">
        <v>496</v>
      </c>
      <c r="D265" s="7" t="s">
        <v>22</v>
      </c>
      <c r="E265" s="8" t="n">
        <v>178</v>
      </c>
      <c r="F265" s="7"/>
    </row>
    <row r="266" customFormat="false" ht="15" hidden="false" customHeight="false" outlineLevel="0" collapsed="false">
      <c r="A266" s="7" t="s">
        <v>227</v>
      </c>
      <c r="B266" s="7" t="s">
        <v>500</v>
      </c>
      <c r="C266" s="7" t="s">
        <v>496</v>
      </c>
      <c r="D266" s="7" t="s">
        <v>22</v>
      </c>
      <c r="E266" s="8" t="n">
        <v>5</v>
      </c>
      <c r="F266" s="7" t="s">
        <v>501</v>
      </c>
    </row>
    <row r="267" customFormat="false" ht="15" hidden="false" customHeight="false" outlineLevel="0" collapsed="false">
      <c r="A267" s="7" t="s">
        <v>234</v>
      </c>
      <c r="B267" s="7" t="s">
        <v>502</v>
      </c>
      <c r="C267" s="7" t="s">
        <v>496</v>
      </c>
      <c r="D267" s="7" t="s">
        <v>22</v>
      </c>
      <c r="E267" s="8" t="n">
        <v>8</v>
      </c>
      <c r="F267" s="7" t="s">
        <v>503</v>
      </c>
    </row>
    <row r="268" customFormat="false" ht="15" hidden="false" customHeight="false" outlineLevel="0" collapsed="false">
      <c r="A268" s="7" t="s">
        <v>234</v>
      </c>
      <c r="B268" s="7" t="s">
        <v>504</v>
      </c>
      <c r="C268" s="7" t="s">
        <v>496</v>
      </c>
      <c r="D268" s="7" t="s">
        <v>22</v>
      </c>
      <c r="E268" s="8" t="n">
        <v>4</v>
      </c>
      <c r="F268" s="7" t="s">
        <v>505</v>
      </c>
    </row>
    <row r="269" customFormat="false" ht="15" hidden="false" customHeight="false" outlineLevel="0" collapsed="false">
      <c r="A269" s="7" t="s">
        <v>388</v>
      </c>
      <c r="B269" s="7" t="s">
        <v>506</v>
      </c>
      <c r="C269" s="7" t="s">
        <v>496</v>
      </c>
      <c r="D269" s="7" t="s">
        <v>22</v>
      </c>
      <c r="E269" s="8" t="n">
        <v>50</v>
      </c>
      <c r="F269" s="7" t="s">
        <v>507</v>
      </c>
    </row>
    <row r="270" customFormat="false" ht="15" hidden="false" customHeight="false" outlineLevel="0" collapsed="false">
      <c r="A270" s="7" t="s">
        <v>388</v>
      </c>
      <c r="B270" s="7" t="s">
        <v>508</v>
      </c>
      <c r="C270" s="7" t="s">
        <v>496</v>
      </c>
      <c r="D270" s="7" t="s">
        <v>12</v>
      </c>
      <c r="E270" s="8" t="n">
        <v>829</v>
      </c>
      <c r="F270" s="7" t="s">
        <v>509</v>
      </c>
    </row>
    <row r="271" customFormat="false" ht="15" hidden="false" customHeight="false" outlineLevel="0" collapsed="false">
      <c r="A271" s="7" t="s">
        <v>388</v>
      </c>
      <c r="B271" s="7" t="s">
        <v>510</v>
      </c>
      <c r="C271" s="7" t="s">
        <v>496</v>
      </c>
      <c r="D271" s="7" t="s">
        <v>22</v>
      </c>
      <c r="E271" s="8" t="n">
        <v>56</v>
      </c>
      <c r="F271" s="7" t="s">
        <v>511</v>
      </c>
    </row>
    <row r="272" customFormat="false" ht="15" hidden="false" customHeight="false" outlineLevel="0" collapsed="false">
      <c r="A272" s="7" t="s">
        <v>512</v>
      </c>
      <c r="B272" s="7" t="s">
        <v>513</v>
      </c>
      <c r="C272" s="7" t="s">
        <v>496</v>
      </c>
      <c r="D272" s="7" t="s">
        <v>22</v>
      </c>
      <c r="E272" s="8" t="n">
        <v>105</v>
      </c>
      <c r="F272" s="7" t="s">
        <v>514</v>
      </c>
    </row>
    <row r="273" customFormat="false" ht="15" hidden="false" customHeight="false" outlineLevel="0" collapsed="false">
      <c r="A273" s="7" t="s">
        <v>248</v>
      </c>
      <c r="B273" s="7" t="s">
        <v>515</v>
      </c>
      <c r="C273" s="7" t="s">
        <v>496</v>
      </c>
      <c r="D273" s="7" t="s">
        <v>22</v>
      </c>
      <c r="E273" s="8" t="n">
        <v>5</v>
      </c>
      <c r="F273" s="7" t="s">
        <v>516</v>
      </c>
    </row>
    <row r="274" customFormat="false" ht="15" hidden="false" customHeight="false" outlineLevel="0" collapsed="false">
      <c r="A274" s="7" t="s">
        <v>251</v>
      </c>
      <c r="B274" s="7" t="s">
        <v>517</v>
      </c>
      <c r="C274" s="7" t="s">
        <v>496</v>
      </c>
      <c r="D274" s="7" t="s">
        <v>22</v>
      </c>
      <c r="E274" s="8" t="n">
        <v>4</v>
      </c>
      <c r="F274" s="7" t="s">
        <v>518</v>
      </c>
    </row>
    <row r="276" customFormat="false" ht="15" hidden="false" customHeight="false" outlineLevel="0" collapsed="false">
      <c r="A276" s="4" t="s">
        <v>519</v>
      </c>
      <c r="B276" s="4"/>
      <c r="C276" s="4"/>
      <c r="D276" s="4"/>
      <c r="E276" s="5" t="n">
        <f aca="false">SUM(E277:E290)</f>
        <v>1252</v>
      </c>
      <c r="F276" s="6"/>
    </row>
    <row r="277" customFormat="false" ht="15" hidden="false" customHeight="false" outlineLevel="0" collapsed="false">
      <c r="A277" s="7" t="s">
        <v>116</v>
      </c>
      <c r="B277" s="7" t="s">
        <v>520</v>
      </c>
      <c r="C277" s="7" t="s">
        <v>521</v>
      </c>
      <c r="D277" s="7" t="s">
        <v>12</v>
      </c>
      <c r="E277" s="8" t="n">
        <v>56</v>
      </c>
      <c r="F277" s="7" t="s">
        <v>522</v>
      </c>
    </row>
    <row r="278" customFormat="false" ht="15" hidden="false" customHeight="false" outlineLevel="0" collapsed="false">
      <c r="A278" s="7" t="s">
        <v>127</v>
      </c>
      <c r="B278" s="7" t="s">
        <v>523</v>
      </c>
      <c r="C278" s="7" t="s">
        <v>521</v>
      </c>
      <c r="D278" s="7" t="s">
        <v>22</v>
      </c>
      <c r="E278" s="8" t="n">
        <v>17</v>
      </c>
      <c r="F278" s="7" t="s">
        <v>524</v>
      </c>
    </row>
    <row r="279" customFormat="false" ht="15" hidden="false" customHeight="false" outlineLevel="0" collapsed="false">
      <c r="A279" s="7" t="s">
        <v>47</v>
      </c>
      <c r="B279" s="7" t="s">
        <v>525</v>
      </c>
      <c r="C279" s="7" t="s">
        <v>521</v>
      </c>
      <c r="D279" s="7" t="s">
        <v>22</v>
      </c>
      <c r="E279" s="8" t="n">
        <v>66</v>
      </c>
      <c r="F279" s="7" t="s">
        <v>522</v>
      </c>
    </row>
    <row r="280" customFormat="false" ht="15" hidden="false" customHeight="false" outlineLevel="0" collapsed="false">
      <c r="A280" s="7" t="s">
        <v>388</v>
      </c>
      <c r="B280" s="7" t="s">
        <v>526</v>
      </c>
      <c r="C280" s="7" t="s">
        <v>521</v>
      </c>
      <c r="D280" s="7" t="s">
        <v>18</v>
      </c>
      <c r="E280" s="8" t="n">
        <v>16</v>
      </c>
      <c r="F280" s="7" t="s">
        <v>527</v>
      </c>
    </row>
    <row r="281" customFormat="false" ht="15" hidden="false" customHeight="false" outlineLevel="0" collapsed="false">
      <c r="A281" s="7" t="s">
        <v>248</v>
      </c>
      <c r="B281" s="7" t="s">
        <v>528</v>
      </c>
      <c r="C281" s="7" t="s">
        <v>521</v>
      </c>
      <c r="D281" s="7" t="s">
        <v>12</v>
      </c>
      <c r="E281" s="8" t="n">
        <v>34</v>
      </c>
      <c r="F281" s="7" t="s">
        <v>253</v>
      </c>
    </row>
    <row r="282" customFormat="false" ht="15" hidden="false" customHeight="false" outlineLevel="0" collapsed="false">
      <c r="A282" s="7" t="s">
        <v>248</v>
      </c>
      <c r="B282" s="7" t="s">
        <v>529</v>
      </c>
      <c r="C282" s="7" t="s">
        <v>521</v>
      </c>
      <c r="D282" s="7" t="s">
        <v>12</v>
      </c>
      <c r="E282" s="8" t="n">
        <v>684</v>
      </c>
      <c r="F282" s="7" t="s">
        <v>530</v>
      </c>
    </row>
    <row r="283" customFormat="false" ht="15" hidden="false" customHeight="false" outlineLevel="0" collapsed="false">
      <c r="A283" s="7" t="s">
        <v>248</v>
      </c>
      <c r="B283" s="7" t="s">
        <v>531</v>
      </c>
      <c r="C283" s="7" t="s">
        <v>521</v>
      </c>
      <c r="D283" s="7" t="s">
        <v>12</v>
      </c>
      <c r="E283" s="8" t="n">
        <v>237</v>
      </c>
      <c r="F283" s="7" t="s">
        <v>532</v>
      </c>
    </row>
    <row r="284" customFormat="false" ht="15" hidden="false" customHeight="false" outlineLevel="0" collapsed="false">
      <c r="A284" s="7" t="s">
        <v>248</v>
      </c>
      <c r="B284" s="7" t="s">
        <v>528</v>
      </c>
      <c r="C284" s="7" t="s">
        <v>521</v>
      </c>
      <c r="D284" s="7" t="s">
        <v>12</v>
      </c>
      <c r="E284" s="8" t="n">
        <v>34</v>
      </c>
      <c r="F284" s="7" t="s">
        <v>253</v>
      </c>
    </row>
    <row r="285" customFormat="false" ht="15" hidden="false" customHeight="false" outlineLevel="0" collapsed="false">
      <c r="A285" s="7" t="s">
        <v>251</v>
      </c>
      <c r="B285" s="7" t="s">
        <v>533</v>
      </c>
      <c r="C285" s="7" t="s">
        <v>521</v>
      </c>
      <c r="D285" s="7" t="s">
        <v>12</v>
      </c>
      <c r="E285" s="8" t="n">
        <v>26</v>
      </c>
      <c r="F285" s="7" t="s">
        <v>534</v>
      </c>
    </row>
    <row r="286" customFormat="false" ht="15" hidden="false" customHeight="false" outlineLevel="0" collapsed="false">
      <c r="A286" s="7" t="s">
        <v>251</v>
      </c>
      <c r="B286" s="7" t="s">
        <v>535</v>
      </c>
      <c r="C286" s="7" t="s">
        <v>521</v>
      </c>
      <c r="D286" s="7" t="s">
        <v>12</v>
      </c>
      <c r="E286" s="8" t="n">
        <v>8</v>
      </c>
      <c r="F286" s="7" t="s">
        <v>536</v>
      </c>
    </row>
    <row r="287" customFormat="false" ht="15" hidden="false" customHeight="false" outlineLevel="0" collapsed="false">
      <c r="A287" s="7" t="s">
        <v>395</v>
      </c>
      <c r="B287" s="7" t="s">
        <v>537</v>
      </c>
      <c r="C287" s="7" t="s">
        <v>521</v>
      </c>
      <c r="D287" s="7" t="s">
        <v>12</v>
      </c>
      <c r="E287" s="8" t="n">
        <v>18</v>
      </c>
      <c r="F287" s="7" t="s">
        <v>538</v>
      </c>
    </row>
    <row r="288" customFormat="false" ht="15" hidden="false" customHeight="false" outlineLevel="0" collapsed="false">
      <c r="A288" s="7" t="s">
        <v>395</v>
      </c>
      <c r="B288" s="7" t="s">
        <v>539</v>
      </c>
      <c r="C288" s="7" t="s">
        <v>521</v>
      </c>
      <c r="D288" s="7" t="s">
        <v>12</v>
      </c>
      <c r="E288" s="8" t="n">
        <v>14</v>
      </c>
      <c r="F288" s="7" t="s">
        <v>540</v>
      </c>
    </row>
    <row r="289" customFormat="false" ht="15" hidden="false" customHeight="false" outlineLevel="0" collapsed="false">
      <c r="A289" s="7" t="s">
        <v>395</v>
      </c>
      <c r="B289" s="7" t="s">
        <v>541</v>
      </c>
      <c r="C289" s="7" t="s">
        <v>521</v>
      </c>
      <c r="D289" s="7" t="s">
        <v>12</v>
      </c>
      <c r="E289" s="8" t="n">
        <v>12</v>
      </c>
      <c r="F289" s="7" t="s">
        <v>542</v>
      </c>
    </row>
    <row r="290" customFormat="false" ht="15" hidden="false" customHeight="false" outlineLevel="0" collapsed="false">
      <c r="A290" s="7" t="s">
        <v>395</v>
      </c>
      <c r="B290" s="7" t="s">
        <v>543</v>
      </c>
      <c r="C290" s="7" t="s">
        <v>521</v>
      </c>
      <c r="D290" s="7" t="s">
        <v>12</v>
      </c>
      <c r="E290" s="8" t="n">
        <v>30</v>
      </c>
      <c r="F290" s="7" t="s">
        <v>544</v>
      </c>
    </row>
    <row r="292" customFormat="false" ht="15" hidden="false" customHeight="false" outlineLevel="0" collapsed="false">
      <c r="A292" s="4" t="s">
        <v>545</v>
      </c>
      <c r="B292" s="4"/>
      <c r="C292" s="4"/>
      <c r="D292" s="4"/>
      <c r="E292" s="5" t="n">
        <f aca="false">SUM(E293:E299)</f>
        <v>1118</v>
      </c>
      <c r="F292" s="6"/>
    </row>
    <row r="293" customFormat="false" ht="15" hidden="false" customHeight="false" outlineLevel="0" collapsed="false">
      <c r="A293" s="7" t="s">
        <v>113</v>
      </c>
      <c r="B293" s="7" t="s">
        <v>546</v>
      </c>
      <c r="C293" s="7" t="s">
        <v>547</v>
      </c>
      <c r="D293" s="7" t="s">
        <v>12</v>
      </c>
      <c r="E293" s="8" t="n">
        <v>81</v>
      </c>
      <c r="F293" s="7" t="s">
        <v>548</v>
      </c>
    </row>
    <row r="294" customFormat="false" ht="15" hidden="false" customHeight="false" outlineLevel="0" collapsed="false">
      <c r="A294" s="7" t="s">
        <v>167</v>
      </c>
      <c r="B294" s="7" t="s">
        <v>549</v>
      </c>
      <c r="C294" s="7" t="s">
        <v>547</v>
      </c>
      <c r="D294" s="7" t="s">
        <v>12</v>
      </c>
      <c r="E294" s="8" t="n">
        <v>22</v>
      </c>
      <c r="F294" s="7" t="s">
        <v>550</v>
      </c>
    </row>
    <row r="295" customFormat="false" ht="15" hidden="false" customHeight="false" outlineLevel="0" collapsed="false">
      <c r="A295" s="7" t="s">
        <v>167</v>
      </c>
      <c r="B295" s="7" t="s">
        <v>551</v>
      </c>
      <c r="C295" s="7" t="s">
        <v>547</v>
      </c>
      <c r="D295" s="7" t="s">
        <v>12</v>
      </c>
      <c r="E295" s="8" t="n">
        <v>239</v>
      </c>
      <c r="F295" s="7" t="s">
        <v>552</v>
      </c>
    </row>
    <row r="296" customFormat="false" ht="15" hidden="false" customHeight="false" outlineLevel="0" collapsed="false">
      <c r="A296" s="7" t="s">
        <v>167</v>
      </c>
      <c r="B296" s="7" t="s">
        <v>553</v>
      </c>
      <c r="C296" s="7" t="s">
        <v>547</v>
      </c>
      <c r="D296" s="7" t="s">
        <v>12</v>
      </c>
      <c r="E296" s="8" t="n">
        <v>52</v>
      </c>
      <c r="F296" s="7" t="s">
        <v>554</v>
      </c>
    </row>
    <row r="297" customFormat="false" ht="15" hidden="false" customHeight="false" outlineLevel="0" collapsed="false">
      <c r="A297" s="7" t="s">
        <v>54</v>
      </c>
      <c r="B297" s="7" t="s">
        <v>555</v>
      </c>
      <c r="C297" s="7" t="s">
        <v>547</v>
      </c>
      <c r="D297" s="7" t="s">
        <v>12</v>
      </c>
      <c r="E297" s="8" t="n">
        <v>674</v>
      </c>
      <c r="F297" s="7" t="s">
        <v>556</v>
      </c>
    </row>
    <row r="298" customFormat="false" ht="15" hidden="false" customHeight="false" outlineLevel="0" collapsed="false">
      <c r="A298" s="7" t="s">
        <v>256</v>
      </c>
      <c r="B298" s="7" t="s">
        <v>557</v>
      </c>
      <c r="C298" s="7" t="s">
        <v>547</v>
      </c>
      <c r="D298" s="7" t="s">
        <v>22</v>
      </c>
      <c r="E298" s="8" t="n">
        <v>36</v>
      </c>
      <c r="F298" s="7" t="s">
        <v>558</v>
      </c>
    </row>
    <row r="299" customFormat="false" ht="15" hidden="false" customHeight="false" outlineLevel="0" collapsed="false">
      <c r="A299" s="7" t="s">
        <v>256</v>
      </c>
      <c r="B299" s="7" t="s">
        <v>559</v>
      </c>
      <c r="C299" s="7" t="s">
        <v>547</v>
      </c>
      <c r="D299" s="7" t="s">
        <v>22</v>
      </c>
      <c r="E299" s="8" t="n">
        <v>14</v>
      </c>
      <c r="F299" s="7" t="s">
        <v>560</v>
      </c>
    </row>
    <row r="301" customFormat="false" ht="15" hidden="false" customHeight="false" outlineLevel="0" collapsed="false">
      <c r="A301" s="4" t="s">
        <v>561</v>
      </c>
      <c r="B301" s="4"/>
      <c r="C301" s="4"/>
      <c r="D301" s="4"/>
      <c r="E301" s="5" t="n">
        <f aca="false">SUM(E302:E305)</f>
        <v>1054</v>
      </c>
      <c r="F301" s="6"/>
    </row>
    <row r="302" customFormat="false" ht="15" hidden="false" customHeight="false" outlineLevel="0" collapsed="false">
      <c r="A302" s="7" t="s">
        <v>562</v>
      </c>
      <c r="B302" s="7" t="s">
        <v>563</v>
      </c>
      <c r="C302" s="7" t="s">
        <v>564</v>
      </c>
      <c r="D302" s="7" t="s">
        <v>12</v>
      </c>
      <c r="E302" s="8" t="n">
        <v>497</v>
      </c>
      <c r="F302" s="7"/>
    </row>
    <row r="303" customFormat="false" ht="15" hidden="false" customHeight="false" outlineLevel="0" collapsed="false">
      <c r="A303" s="7" t="s">
        <v>565</v>
      </c>
      <c r="B303" s="7" t="s">
        <v>566</v>
      </c>
      <c r="C303" s="7" t="s">
        <v>564</v>
      </c>
      <c r="D303" s="7" t="s">
        <v>18</v>
      </c>
      <c r="E303" s="8" t="n">
        <v>271</v>
      </c>
      <c r="F303" s="7"/>
    </row>
    <row r="304" customFormat="false" ht="15" hidden="false" customHeight="false" outlineLevel="0" collapsed="false">
      <c r="A304" s="7" t="s">
        <v>567</v>
      </c>
      <c r="B304" s="7" t="s">
        <v>568</v>
      </c>
      <c r="C304" s="7" t="s">
        <v>564</v>
      </c>
      <c r="D304" s="7" t="s">
        <v>18</v>
      </c>
      <c r="E304" s="8" t="n">
        <v>262</v>
      </c>
      <c r="F304" s="7"/>
    </row>
    <row r="305" customFormat="false" ht="15" hidden="false" customHeight="false" outlineLevel="0" collapsed="false">
      <c r="A305" s="7" t="s">
        <v>259</v>
      </c>
      <c r="B305" s="7" t="s">
        <v>569</v>
      </c>
      <c r="C305" s="7" t="s">
        <v>564</v>
      </c>
      <c r="D305" s="7" t="s">
        <v>12</v>
      </c>
      <c r="E305" s="8" t="n">
        <v>24</v>
      </c>
      <c r="F305" s="7" t="s">
        <v>570</v>
      </c>
    </row>
    <row r="307" customFormat="false" ht="15" hidden="false" customHeight="false" outlineLevel="0" collapsed="false">
      <c r="A307" s="4" t="s">
        <v>571</v>
      </c>
      <c r="B307" s="4"/>
      <c r="C307" s="4"/>
      <c r="D307" s="4"/>
      <c r="E307" s="5" t="n">
        <f aca="false">SUM(E308:E336)</f>
        <v>884</v>
      </c>
      <c r="F307" s="6"/>
    </row>
    <row r="308" customFormat="false" ht="15" hidden="false" customHeight="false" outlineLevel="0" collapsed="false">
      <c r="A308" s="7" t="s">
        <v>494</v>
      </c>
      <c r="B308" s="7" t="s">
        <v>572</v>
      </c>
      <c r="C308" s="7" t="s">
        <v>573</v>
      </c>
      <c r="D308" s="7" t="s">
        <v>22</v>
      </c>
      <c r="E308" s="8" t="n">
        <v>5</v>
      </c>
      <c r="F308" s="7"/>
    </row>
    <row r="309" customFormat="false" ht="15" hidden="false" customHeight="false" outlineLevel="0" collapsed="false">
      <c r="A309" s="7" t="s">
        <v>494</v>
      </c>
      <c r="B309" s="7" t="s">
        <v>574</v>
      </c>
      <c r="C309" s="7" t="s">
        <v>573</v>
      </c>
      <c r="D309" s="7" t="s">
        <v>22</v>
      </c>
      <c r="E309" s="8" t="n">
        <v>2</v>
      </c>
      <c r="F309" s="7"/>
    </row>
    <row r="310" customFormat="false" ht="15" hidden="false" customHeight="false" outlineLevel="0" collapsed="false">
      <c r="A310" s="7" t="s">
        <v>494</v>
      </c>
      <c r="B310" s="7" t="s">
        <v>575</v>
      </c>
      <c r="C310" s="7" t="s">
        <v>573</v>
      </c>
      <c r="D310" s="7" t="s">
        <v>22</v>
      </c>
      <c r="E310" s="8" t="n">
        <v>3</v>
      </c>
      <c r="F310" s="7"/>
    </row>
    <row r="311" customFormat="false" ht="15" hidden="false" customHeight="false" outlineLevel="0" collapsed="false">
      <c r="A311" s="7" t="s">
        <v>312</v>
      </c>
      <c r="B311" s="7" t="s">
        <v>576</v>
      </c>
      <c r="C311" s="7" t="s">
        <v>573</v>
      </c>
      <c r="D311" s="7" t="s">
        <v>18</v>
      </c>
      <c r="E311" s="8" t="n">
        <v>6</v>
      </c>
      <c r="F311" s="7"/>
    </row>
    <row r="312" customFormat="false" ht="15" hidden="false" customHeight="false" outlineLevel="0" collapsed="false">
      <c r="A312" s="7" t="s">
        <v>329</v>
      </c>
      <c r="B312" s="7" t="s">
        <v>577</v>
      </c>
      <c r="C312" s="7" t="s">
        <v>573</v>
      </c>
      <c r="D312" s="7" t="s">
        <v>18</v>
      </c>
      <c r="E312" s="8" t="n">
        <v>6</v>
      </c>
      <c r="F312" s="7"/>
    </row>
    <row r="313" customFormat="false" ht="15" hidden="false" customHeight="false" outlineLevel="0" collapsed="false">
      <c r="A313" s="7" t="s">
        <v>127</v>
      </c>
      <c r="B313" s="7" t="s">
        <v>578</v>
      </c>
      <c r="C313" s="7" t="s">
        <v>573</v>
      </c>
      <c r="D313" s="7" t="s">
        <v>12</v>
      </c>
      <c r="E313" s="8" t="n">
        <v>56</v>
      </c>
      <c r="F313" s="7" t="s">
        <v>579</v>
      </c>
    </row>
    <row r="314" customFormat="false" ht="15" hidden="false" customHeight="false" outlineLevel="0" collapsed="false">
      <c r="A314" s="7" t="s">
        <v>167</v>
      </c>
      <c r="B314" s="7" t="s">
        <v>580</v>
      </c>
      <c r="C314" s="7" t="s">
        <v>573</v>
      </c>
      <c r="D314" s="7" t="s">
        <v>12</v>
      </c>
      <c r="E314" s="8" t="n">
        <v>60</v>
      </c>
      <c r="F314" s="7" t="s">
        <v>581</v>
      </c>
    </row>
    <row r="315" customFormat="false" ht="15" hidden="false" customHeight="false" outlineLevel="0" collapsed="false">
      <c r="A315" s="7" t="s">
        <v>167</v>
      </c>
      <c r="B315" s="7" t="s">
        <v>582</v>
      </c>
      <c r="C315" s="7" t="s">
        <v>573</v>
      </c>
      <c r="D315" s="7" t="s">
        <v>12</v>
      </c>
      <c r="E315" s="8" t="n">
        <v>8</v>
      </c>
      <c r="F315" s="7" t="s">
        <v>583</v>
      </c>
    </row>
    <row r="316" customFormat="false" ht="15" hidden="false" customHeight="false" outlineLevel="0" collapsed="false">
      <c r="A316" s="7" t="s">
        <v>167</v>
      </c>
      <c r="B316" s="7" t="s">
        <v>584</v>
      </c>
      <c r="C316" s="7" t="s">
        <v>573</v>
      </c>
      <c r="D316" s="7" t="s">
        <v>12</v>
      </c>
      <c r="E316" s="8" t="n">
        <v>26</v>
      </c>
      <c r="F316" s="7" t="s">
        <v>585</v>
      </c>
    </row>
    <row r="317" customFormat="false" ht="15" hidden="false" customHeight="false" outlineLevel="0" collapsed="false">
      <c r="A317" s="7" t="s">
        <v>167</v>
      </c>
      <c r="B317" s="7" t="s">
        <v>174</v>
      </c>
      <c r="C317" s="7" t="s">
        <v>573</v>
      </c>
      <c r="D317" s="7" t="s">
        <v>12</v>
      </c>
      <c r="E317" s="8" t="n">
        <v>16</v>
      </c>
      <c r="F317" s="7" t="s">
        <v>586</v>
      </c>
    </row>
    <row r="318" customFormat="false" ht="15" hidden="false" customHeight="false" outlineLevel="0" collapsed="false">
      <c r="A318" s="7" t="s">
        <v>234</v>
      </c>
      <c r="B318" s="7" t="s">
        <v>587</v>
      </c>
      <c r="C318" s="7" t="s">
        <v>573</v>
      </c>
      <c r="D318" s="7" t="s">
        <v>12</v>
      </c>
      <c r="E318" s="8" t="n">
        <v>232</v>
      </c>
      <c r="F318" s="7" t="s">
        <v>588</v>
      </c>
    </row>
    <row r="319" customFormat="false" ht="15" hidden="false" customHeight="false" outlineLevel="0" collapsed="false">
      <c r="A319" s="7" t="s">
        <v>234</v>
      </c>
      <c r="B319" s="7" t="s">
        <v>589</v>
      </c>
      <c r="C319" s="7" t="s">
        <v>573</v>
      </c>
      <c r="D319" s="7" t="s">
        <v>12</v>
      </c>
      <c r="E319" s="8" t="n">
        <v>0</v>
      </c>
      <c r="F319" s="7" t="s">
        <v>590</v>
      </c>
    </row>
    <row r="320" customFormat="false" ht="15" hidden="false" customHeight="false" outlineLevel="0" collapsed="false">
      <c r="A320" s="7" t="s">
        <v>234</v>
      </c>
      <c r="B320" s="7" t="s">
        <v>591</v>
      </c>
      <c r="C320" s="7" t="s">
        <v>573</v>
      </c>
      <c r="D320" s="7" t="s">
        <v>12</v>
      </c>
      <c r="E320" s="8" t="n">
        <v>0</v>
      </c>
      <c r="F320" s="7" t="s">
        <v>592</v>
      </c>
    </row>
    <row r="321" customFormat="false" ht="15" hidden="false" customHeight="false" outlineLevel="0" collapsed="false">
      <c r="A321" s="7" t="s">
        <v>234</v>
      </c>
      <c r="B321" s="7" t="s">
        <v>593</v>
      </c>
      <c r="C321" s="7" t="s">
        <v>573</v>
      </c>
      <c r="D321" s="7" t="s">
        <v>12</v>
      </c>
      <c r="E321" s="8" t="n">
        <v>0</v>
      </c>
      <c r="F321" s="7" t="s">
        <v>594</v>
      </c>
    </row>
    <row r="322" customFormat="false" ht="15" hidden="false" customHeight="false" outlineLevel="0" collapsed="false">
      <c r="A322" s="7" t="s">
        <v>234</v>
      </c>
      <c r="B322" s="7" t="s">
        <v>595</v>
      </c>
      <c r="C322" s="7" t="s">
        <v>573</v>
      </c>
      <c r="D322" s="7" t="s">
        <v>12</v>
      </c>
      <c r="E322" s="8" t="n">
        <v>6</v>
      </c>
      <c r="F322" s="7" t="s">
        <v>596</v>
      </c>
    </row>
    <row r="323" customFormat="false" ht="15" hidden="false" customHeight="false" outlineLevel="0" collapsed="false">
      <c r="A323" s="7" t="s">
        <v>234</v>
      </c>
      <c r="B323" s="7" t="s">
        <v>597</v>
      </c>
      <c r="C323" s="7" t="s">
        <v>573</v>
      </c>
      <c r="D323" s="7" t="s">
        <v>22</v>
      </c>
      <c r="E323" s="8" t="n">
        <v>6</v>
      </c>
      <c r="F323" s="7" t="s">
        <v>598</v>
      </c>
    </row>
    <row r="324" customFormat="false" ht="15" hidden="false" customHeight="false" outlineLevel="0" collapsed="false">
      <c r="A324" s="7" t="s">
        <v>234</v>
      </c>
      <c r="B324" s="7" t="s">
        <v>599</v>
      </c>
      <c r="C324" s="7" t="s">
        <v>573</v>
      </c>
      <c r="D324" s="7" t="s">
        <v>12</v>
      </c>
      <c r="E324" s="8" t="n">
        <v>0</v>
      </c>
      <c r="F324" s="7" t="s">
        <v>600</v>
      </c>
    </row>
    <row r="325" customFormat="false" ht="15" hidden="false" customHeight="false" outlineLevel="0" collapsed="false">
      <c r="A325" s="7" t="s">
        <v>601</v>
      </c>
      <c r="B325" s="7" t="s">
        <v>602</v>
      </c>
      <c r="C325" s="7" t="s">
        <v>573</v>
      </c>
      <c r="D325" s="7" t="s">
        <v>12</v>
      </c>
      <c r="E325" s="8" t="n">
        <v>70</v>
      </c>
      <c r="F325" s="7" t="s">
        <v>603</v>
      </c>
    </row>
    <row r="326" customFormat="false" ht="15" hidden="false" customHeight="false" outlineLevel="0" collapsed="false">
      <c r="A326" s="7" t="s">
        <v>601</v>
      </c>
      <c r="B326" s="7" t="s">
        <v>604</v>
      </c>
      <c r="C326" s="7" t="s">
        <v>573</v>
      </c>
      <c r="D326" s="7" t="s">
        <v>12</v>
      </c>
      <c r="E326" s="8" t="n">
        <v>30</v>
      </c>
      <c r="F326" s="7" t="s">
        <v>605</v>
      </c>
    </row>
    <row r="327" customFormat="false" ht="15" hidden="false" customHeight="false" outlineLevel="0" collapsed="false">
      <c r="A327" s="7" t="s">
        <v>601</v>
      </c>
      <c r="B327" s="7" t="s">
        <v>606</v>
      </c>
      <c r="C327" s="7" t="s">
        <v>573</v>
      </c>
      <c r="D327" s="7" t="s">
        <v>12</v>
      </c>
      <c r="E327" s="8" t="n">
        <v>16</v>
      </c>
      <c r="F327" s="7" t="s">
        <v>607</v>
      </c>
    </row>
    <row r="328" customFormat="false" ht="15" hidden="false" customHeight="false" outlineLevel="0" collapsed="false">
      <c r="A328" s="7" t="s">
        <v>601</v>
      </c>
      <c r="B328" s="7" t="s">
        <v>608</v>
      </c>
      <c r="C328" s="7" t="s">
        <v>573</v>
      </c>
      <c r="D328" s="7" t="s">
        <v>12</v>
      </c>
      <c r="E328" s="8" t="n">
        <v>24</v>
      </c>
      <c r="F328" s="7" t="s">
        <v>609</v>
      </c>
    </row>
    <row r="329" customFormat="false" ht="15" hidden="false" customHeight="false" outlineLevel="0" collapsed="false">
      <c r="A329" s="7" t="s">
        <v>601</v>
      </c>
      <c r="B329" s="7" t="s">
        <v>610</v>
      </c>
      <c r="C329" s="7" t="s">
        <v>573</v>
      </c>
      <c r="D329" s="7" t="s">
        <v>12</v>
      </c>
      <c r="E329" s="8" t="n">
        <v>65</v>
      </c>
      <c r="F329" s="7" t="s">
        <v>611</v>
      </c>
    </row>
    <row r="330" customFormat="false" ht="15" hidden="false" customHeight="false" outlineLevel="0" collapsed="false">
      <c r="A330" s="7" t="s">
        <v>601</v>
      </c>
      <c r="B330" s="7" t="s">
        <v>612</v>
      </c>
      <c r="C330" s="7" t="s">
        <v>573</v>
      </c>
      <c r="D330" s="7" t="s">
        <v>12</v>
      </c>
      <c r="E330" s="8" t="n">
        <v>5</v>
      </c>
      <c r="F330" s="7" t="s">
        <v>613</v>
      </c>
    </row>
    <row r="331" customFormat="false" ht="15" hidden="false" customHeight="false" outlineLevel="0" collapsed="false">
      <c r="A331" s="7" t="s">
        <v>614</v>
      </c>
      <c r="B331" s="7" t="s">
        <v>615</v>
      </c>
      <c r="C331" s="7" t="s">
        <v>573</v>
      </c>
      <c r="D331" s="7" t="s">
        <v>12</v>
      </c>
      <c r="E331" s="8" t="n">
        <v>70</v>
      </c>
      <c r="F331" s="7" t="s">
        <v>616</v>
      </c>
    </row>
    <row r="332" customFormat="false" ht="15" hidden="false" customHeight="false" outlineLevel="0" collapsed="false">
      <c r="A332" s="7" t="s">
        <v>614</v>
      </c>
      <c r="B332" s="7" t="s">
        <v>617</v>
      </c>
      <c r="C332" s="7" t="s">
        <v>573</v>
      </c>
      <c r="D332" s="7" t="s">
        <v>12</v>
      </c>
      <c r="E332" s="8" t="n">
        <v>5</v>
      </c>
      <c r="F332" s="7" t="s">
        <v>618</v>
      </c>
    </row>
    <row r="333" customFormat="false" ht="15" hidden="false" customHeight="false" outlineLevel="0" collapsed="false">
      <c r="A333" s="7" t="s">
        <v>614</v>
      </c>
      <c r="B333" s="7" t="s">
        <v>619</v>
      </c>
      <c r="C333" s="7" t="s">
        <v>573</v>
      </c>
      <c r="D333" s="7" t="s">
        <v>12</v>
      </c>
      <c r="E333" s="8" t="n">
        <v>24</v>
      </c>
      <c r="F333" s="7" t="s">
        <v>620</v>
      </c>
    </row>
    <row r="334" customFormat="false" ht="15" hidden="false" customHeight="false" outlineLevel="0" collapsed="false">
      <c r="A334" s="7" t="s">
        <v>614</v>
      </c>
      <c r="B334" s="7" t="s">
        <v>621</v>
      </c>
      <c r="C334" s="7" t="s">
        <v>573</v>
      </c>
      <c r="D334" s="7" t="s">
        <v>12</v>
      </c>
      <c r="E334" s="8" t="n">
        <v>65</v>
      </c>
      <c r="F334" s="7" t="s">
        <v>622</v>
      </c>
    </row>
    <row r="335" customFormat="false" ht="15" hidden="false" customHeight="false" outlineLevel="0" collapsed="false">
      <c r="A335" s="7" t="s">
        <v>614</v>
      </c>
      <c r="B335" s="7" t="s">
        <v>623</v>
      </c>
      <c r="C335" s="7" t="s">
        <v>573</v>
      </c>
      <c r="D335" s="7" t="s">
        <v>12</v>
      </c>
      <c r="E335" s="8" t="n">
        <v>30</v>
      </c>
      <c r="F335" s="7" t="s">
        <v>624</v>
      </c>
    </row>
    <row r="336" customFormat="false" ht="15" hidden="false" customHeight="false" outlineLevel="0" collapsed="false">
      <c r="A336" s="7" t="s">
        <v>388</v>
      </c>
      <c r="B336" s="7" t="s">
        <v>625</v>
      </c>
      <c r="C336" s="7" t="s">
        <v>573</v>
      </c>
      <c r="D336" s="7" t="s">
        <v>12</v>
      </c>
      <c r="E336" s="8" t="n">
        <v>48</v>
      </c>
      <c r="F336" s="7" t="s">
        <v>626</v>
      </c>
    </row>
    <row r="338" customFormat="false" ht="15" hidden="false" customHeight="false" outlineLevel="0" collapsed="false">
      <c r="A338" s="4" t="s">
        <v>627</v>
      </c>
      <c r="B338" s="4"/>
      <c r="C338" s="4"/>
      <c r="D338" s="4"/>
      <c r="E338" s="5" t="n">
        <f aca="false">SUM(E339:E350)</f>
        <v>394</v>
      </c>
      <c r="F338" s="6"/>
    </row>
    <row r="339" customFormat="false" ht="15" hidden="false" customHeight="false" outlineLevel="0" collapsed="false">
      <c r="A339" s="7" t="s">
        <v>88</v>
      </c>
      <c r="B339" s="7" t="s">
        <v>628</v>
      </c>
      <c r="C339" s="7" t="s">
        <v>629</v>
      </c>
      <c r="D339" s="7"/>
      <c r="E339" s="8" t="n">
        <v>51</v>
      </c>
      <c r="F339" s="7" t="s">
        <v>630</v>
      </c>
    </row>
    <row r="340" customFormat="false" ht="15" hidden="false" customHeight="false" outlineLevel="0" collapsed="false">
      <c r="A340" s="7" t="s">
        <v>26</v>
      </c>
      <c r="B340" s="7" t="s">
        <v>631</v>
      </c>
      <c r="C340" s="7" t="s">
        <v>629</v>
      </c>
      <c r="D340" s="7"/>
      <c r="E340" s="8" t="n">
        <v>21</v>
      </c>
      <c r="F340" s="7" t="s">
        <v>632</v>
      </c>
    </row>
    <row r="341" customFormat="false" ht="15" hidden="false" customHeight="false" outlineLevel="0" collapsed="false">
      <c r="A341" s="7" t="s">
        <v>26</v>
      </c>
      <c r="B341" s="7" t="s">
        <v>633</v>
      </c>
      <c r="C341" s="7" t="s">
        <v>629</v>
      </c>
      <c r="D341" s="7"/>
      <c r="E341" s="8" t="n">
        <v>84</v>
      </c>
      <c r="F341" s="7" t="s">
        <v>634</v>
      </c>
    </row>
    <row r="342" customFormat="false" ht="15" hidden="false" customHeight="false" outlineLevel="0" collapsed="false">
      <c r="A342" s="7" t="s">
        <v>116</v>
      </c>
      <c r="B342" s="7" t="s">
        <v>635</v>
      </c>
      <c r="C342" s="7" t="s">
        <v>629</v>
      </c>
      <c r="D342" s="7"/>
      <c r="E342" s="8" t="n">
        <v>4</v>
      </c>
      <c r="F342" s="7" t="s">
        <v>636</v>
      </c>
    </row>
    <row r="343" customFormat="false" ht="15" hidden="false" customHeight="false" outlineLevel="0" collapsed="false">
      <c r="A343" s="7" t="s">
        <v>127</v>
      </c>
      <c r="B343" s="7" t="s">
        <v>637</v>
      </c>
      <c r="C343" s="7" t="s">
        <v>629</v>
      </c>
      <c r="D343" s="7"/>
      <c r="E343" s="8" t="n">
        <v>3</v>
      </c>
      <c r="F343" s="7" t="s">
        <v>638</v>
      </c>
    </row>
    <row r="344" customFormat="false" ht="15" hidden="false" customHeight="false" outlineLevel="0" collapsed="false">
      <c r="A344" s="7" t="s">
        <v>127</v>
      </c>
      <c r="B344" s="7" t="s">
        <v>639</v>
      </c>
      <c r="C344" s="7" t="s">
        <v>629</v>
      </c>
      <c r="D344" s="7"/>
      <c r="E344" s="8" t="n">
        <v>13</v>
      </c>
      <c r="F344" s="7" t="s">
        <v>640</v>
      </c>
    </row>
    <row r="345" customFormat="false" ht="15" hidden="false" customHeight="false" outlineLevel="0" collapsed="false">
      <c r="A345" s="7" t="s">
        <v>157</v>
      </c>
      <c r="B345" s="7" t="s">
        <v>641</v>
      </c>
      <c r="C345" s="7" t="s">
        <v>629</v>
      </c>
      <c r="D345" s="7"/>
      <c r="E345" s="8" t="n">
        <v>50</v>
      </c>
      <c r="F345" s="7" t="s">
        <v>642</v>
      </c>
    </row>
    <row r="346" customFormat="false" ht="15" hidden="false" customHeight="false" outlineLevel="0" collapsed="false">
      <c r="A346" s="7" t="s">
        <v>162</v>
      </c>
      <c r="B346" s="7" t="s">
        <v>643</v>
      </c>
      <c r="C346" s="7" t="s">
        <v>629</v>
      </c>
      <c r="D346" s="7"/>
      <c r="E346" s="8" t="n">
        <v>63</v>
      </c>
      <c r="F346" s="7"/>
    </row>
    <row r="347" customFormat="false" ht="15" hidden="false" customHeight="false" outlineLevel="0" collapsed="false">
      <c r="A347" s="7" t="s">
        <v>167</v>
      </c>
      <c r="B347" s="7" t="s">
        <v>644</v>
      </c>
      <c r="C347" s="7" t="s">
        <v>629</v>
      </c>
      <c r="D347" s="7"/>
      <c r="E347" s="8" t="n">
        <v>8</v>
      </c>
      <c r="F347" s="7" t="s">
        <v>645</v>
      </c>
    </row>
    <row r="348" customFormat="false" ht="15" hidden="false" customHeight="false" outlineLevel="0" collapsed="false">
      <c r="A348" s="7" t="s">
        <v>227</v>
      </c>
      <c r="B348" s="7" t="s">
        <v>646</v>
      </c>
      <c r="C348" s="7" t="s">
        <v>629</v>
      </c>
      <c r="D348" s="7"/>
      <c r="E348" s="8" t="n">
        <v>6</v>
      </c>
      <c r="F348" s="7" t="s">
        <v>647</v>
      </c>
    </row>
    <row r="349" customFormat="false" ht="15" hidden="false" customHeight="false" outlineLevel="0" collapsed="false">
      <c r="A349" s="7" t="s">
        <v>614</v>
      </c>
      <c r="B349" s="7" t="s">
        <v>648</v>
      </c>
      <c r="C349" s="7" t="s">
        <v>629</v>
      </c>
      <c r="D349" s="7"/>
      <c r="E349" s="8" t="n">
        <v>11</v>
      </c>
      <c r="F349" s="7" t="s">
        <v>649</v>
      </c>
    </row>
    <row r="350" customFormat="false" ht="15" hidden="false" customHeight="false" outlineLevel="0" collapsed="false">
      <c r="A350" s="7" t="s">
        <v>650</v>
      </c>
      <c r="B350" s="7" t="s">
        <v>651</v>
      </c>
      <c r="C350" s="7" t="s">
        <v>629</v>
      </c>
      <c r="D350" s="7"/>
      <c r="E350" s="8" t="n">
        <v>80</v>
      </c>
      <c r="F350" s="7" t="s">
        <v>652</v>
      </c>
    </row>
    <row r="352" customFormat="false" ht="15" hidden="false" customHeight="false" outlineLevel="0" collapsed="false">
      <c r="A352" s="4" t="s">
        <v>653</v>
      </c>
      <c r="B352" s="4"/>
      <c r="C352" s="4"/>
      <c r="D352" s="4"/>
      <c r="E352" s="5" t="n">
        <f aca="false">SUM(E353:E376)</f>
        <v>193</v>
      </c>
      <c r="F352" s="6"/>
    </row>
    <row r="353" customFormat="false" ht="15" hidden="false" customHeight="false" outlineLevel="0" collapsed="false">
      <c r="A353" s="7" t="s">
        <v>654</v>
      </c>
      <c r="B353" s="7" t="s">
        <v>655</v>
      </c>
      <c r="C353" s="7" t="s">
        <v>656</v>
      </c>
      <c r="D353" s="7" t="s">
        <v>18</v>
      </c>
      <c r="E353" s="8" t="n">
        <v>5</v>
      </c>
      <c r="F353" s="7"/>
    </row>
    <row r="354" customFormat="false" ht="15" hidden="false" customHeight="false" outlineLevel="0" collapsed="false">
      <c r="A354" s="7" t="s">
        <v>654</v>
      </c>
      <c r="B354" s="7" t="s">
        <v>657</v>
      </c>
      <c r="C354" s="7" t="s">
        <v>656</v>
      </c>
      <c r="D354" s="7" t="s">
        <v>18</v>
      </c>
      <c r="E354" s="8" t="n">
        <v>4</v>
      </c>
      <c r="F354" s="7" t="s">
        <v>658</v>
      </c>
    </row>
    <row r="355" customFormat="false" ht="15" hidden="false" customHeight="false" outlineLevel="0" collapsed="false">
      <c r="A355" s="7" t="s">
        <v>654</v>
      </c>
      <c r="B355" s="7" t="s">
        <v>659</v>
      </c>
      <c r="C355" s="7" t="s">
        <v>656</v>
      </c>
      <c r="D355" s="7" t="s">
        <v>18</v>
      </c>
      <c r="E355" s="8" t="n">
        <v>5</v>
      </c>
      <c r="F355" s="7"/>
    </row>
    <row r="356" customFormat="false" ht="15" hidden="false" customHeight="false" outlineLevel="0" collapsed="false">
      <c r="A356" s="7" t="s">
        <v>82</v>
      </c>
      <c r="B356" s="7" t="s">
        <v>660</v>
      </c>
      <c r="C356" s="7" t="s">
        <v>656</v>
      </c>
      <c r="D356" s="7" t="s">
        <v>18</v>
      </c>
      <c r="E356" s="8" t="n">
        <v>6</v>
      </c>
      <c r="F356" s="7" t="s">
        <v>661</v>
      </c>
    </row>
    <row r="357" customFormat="false" ht="15" hidden="false" customHeight="false" outlineLevel="0" collapsed="false">
      <c r="A357" s="7" t="s">
        <v>84</v>
      </c>
      <c r="B357" s="7" t="s">
        <v>655</v>
      </c>
      <c r="C357" s="7" t="s">
        <v>656</v>
      </c>
      <c r="D357" s="7" t="s">
        <v>18</v>
      </c>
      <c r="E357" s="8" t="n">
        <v>4</v>
      </c>
      <c r="F357" s="7"/>
    </row>
    <row r="358" customFormat="false" ht="15" hidden="false" customHeight="false" outlineLevel="0" collapsed="false">
      <c r="A358" s="7" t="s">
        <v>84</v>
      </c>
      <c r="B358" s="7" t="s">
        <v>662</v>
      </c>
      <c r="C358" s="7" t="s">
        <v>656</v>
      </c>
      <c r="D358" s="7" t="s">
        <v>18</v>
      </c>
      <c r="E358" s="8" t="n">
        <v>14</v>
      </c>
      <c r="F358" s="7" t="s">
        <v>663</v>
      </c>
    </row>
    <row r="359" customFormat="false" ht="15" hidden="false" customHeight="false" outlineLevel="0" collapsed="false">
      <c r="A359" s="7" t="s">
        <v>84</v>
      </c>
      <c r="B359" s="7" t="s">
        <v>664</v>
      </c>
      <c r="C359" s="7" t="s">
        <v>656</v>
      </c>
      <c r="D359" s="7" t="s">
        <v>18</v>
      </c>
      <c r="E359" s="8" t="n">
        <v>6</v>
      </c>
      <c r="F359" s="7" t="s">
        <v>661</v>
      </c>
    </row>
    <row r="360" customFormat="false" ht="15" hidden="false" customHeight="false" outlineLevel="0" collapsed="false">
      <c r="A360" s="7" t="s">
        <v>84</v>
      </c>
      <c r="B360" s="7" t="s">
        <v>665</v>
      </c>
      <c r="C360" s="7" t="s">
        <v>656</v>
      </c>
      <c r="D360" s="7" t="s">
        <v>18</v>
      </c>
      <c r="E360" s="8" t="n">
        <v>3</v>
      </c>
      <c r="F360" s="7"/>
    </row>
    <row r="361" customFormat="false" ht="15" hidden="false" customHeight="false" outlineLevel="0" collapsed="false">
      <c r="A361" s="7" t="s">
        <v>84</v>
      </c>
      <c r="B361" s="7" t="s">
        <v>666</v>
      </c>
      <c r="C361" s="7" t="s">
        <v>656</v>
      </c>
      <c r="D361" s="7" t="s">
        <v>18</v>
      </c>
      <c r="E361" s="8" t="n">
        <v>3</v>
      </c>
      <c r="F361" s="7"/>
    </row>
    <row r="362" customFormat="false" ht="15" hidden="false" customHeight="false" outlineLevel="0" collapsed="false">
      <c r="A362" s="7" t="s">
        <v>20</v>
      </c>
      <c r="B362" s="7" t="s">
        <v>667</v>
      </c>
      <c r="C362" s="7" t="s">
        <v>656</v>
      </c>
      <c r="D362" s="7" t="s">
        <v>18</v>
      </c>
      <c r="E362" s="8" t="n">
        <v>6</v>
      </c>
      <c r="F362" s="7"/>
    </row>
    <row r="363" customFormat="false" ht="15" hidden="false" customHeight="false" outlineLevel="0" collapsed="false">
      <c r="A363" s="7" t="s">
        <v>20</v>
      </c>
      <c r="B363" s="7" t="s">
        <v>668</v>
      </c>
      <c r="C363" s="7" t="s">
        <v>656</v>
      </c>
      <c r="D363" s="7" t="s">
        <v>18</v>
      </c>
      <c r="E363" s="8" t="n">
        <v>1</v>
      </c>
      <c r="F363" s="7"/>
    </row>
    <row r="364" customFormat="false" ht="15" hidden="false" customHeight="false" outlineLevel="0" collapsed="false">
      <c r="A364" s="7" t="s">
        <v>20</v>
      </c>
      <c r="B364" s="7" t="s">
        <v>669</v>
      </c>
      <c r="C364" s="7" t="s">
        <v>656</v>
      </c>
      <c r="D364" s="7" t="s">
        <v>18</v>
      </c>
      <c r="E364" s="8" t="n">
        <v>5</v>
      </c>
      <c r="F364" s="7"/>
    </row>
    <row r="365" customFormat="false" ht="15" hidden="false" customHeight="false" outlineLevel="0" collapsed="false">
      <c r="A365" s="7" t="s">
        <v>20</v>
      </c>
      <c r="B365" s="7" t="s">
        <v>670</v>
      </c>
      <c r="C365" s="7" t="s">
        <v>656</v>
      </c>
      <c r="D365" s="7" t="s">
        <v>18</v>
      </c>
      <c r="E365" s="8" t="n">
        <v>5</v>
      </c>
      <c r="F365" s="7"/>
    </row>
    <row r="366" customFormat="false" ht="15" hidden="false" customHeight="false" outlineLevel="0" collapsed="false">
      <c r="A366" s="7" t="s">
        <v>671</v>
      </c>
      <c r="B366" s="7" t="s">
        <v>672</v>
      </c>
      <c r="C366" s="7" t="s">
        <v>656</v>
      </c>
      <c r="D366" s="7" t="s">
        <v>18</v>
      </c>
      <c r="E366" s="8" t="n">
        <v>1</v>
      </c>
      <c r="F366" s="7"/>
    </row>
    <row r="367" customFormat="false" ht="15" hidden="false" customHeight="false" outlineLevel="0" collapsed="false">
      <c r="A367" s="7" t="s">
        <v>26</v>
      </c>
      <c r="B367" s="7" t="s">
        <v>673</v>
      </c>
      <c r="C367" s="7" t="s">
        <v>656</v>
      </c>
      <c r="D367" s="7" t="s">
        <v>18</v>
      </c>
      <c r="E367" s="8" t="n">
        <v>35</v>
      </c>
      <c r="F367" s="7" t="s">
        <v>674</v>
      </c>
    </row>
    <row r="368" customFormat="false" ht="15" hidden="false" customHeight="false" outlineLevel="0" collapsed="false">
      <c r="A368" s="7" t="s">
        <v>26</v>
      </c>
      <c r="B368" s="7" t="s">
        <v>675</v>
      </c>
      <c r="C368" s="7" t="s">
        <v>656</v>
      </c>
      <c r="D368" s="7" t="s">
        <v>18</v>
      </c>
      <c r="E368" s="8" t="n">
        <v>10</v>
      </c>
      <c r="F368" s="7" t="s">
        <v>676</v>
      </c>
    </row>
    <row r="369" customFormat="false" ht="15" hidden="false" customHeight="false" outlineLevel="0" collapsed="false">
      <c r="A369" s="7" t="s">
        <v>26</v>
      </c>
      <c r="B369" s="7" t="s">
        <v>677</v>
      </c>
      <c r="C369" s="7" t="s">
        <v>656</v>
      </c>
      <c r="D369" s="7" t="s">
        <v>18</v>
      </c>
      <c r="E369" s="8" t="n">
        <v>4</v>
      </c>
      <c r="F369" s="7" t="s">
        <v>678</v>
      </c>
    </row>
    <row r="370" customFormat="false" ht="15" hidden="false" customHeight="false" outlineLevel="0" collapsed="false">
      <c r="A370" s="7" t="s">
        <v>26</v>
      </c>
      <c r="B370" s="7" t="s">
        <v>679</v>
      </c>
      <c r="C370" s="7" t="s">
        <v>656</v>
      </c>
      <c r="D370" s="7" t="s">
        <v>18</v>
      </c>
      <c r="E370" s="8" t="n">
        <v>4</v>
      </c>
      <c r="F370" s="7" t="s">
        <v>680</v>
      </c>
    </row>
    <row r="371" customFormat="false" ht="15" hidden="false" customHeight="false" outlineLevel="0" collapsed="false">
      <c r="A371" s="7" t="s">
        <v>26</v>
      </c>
      <c r="B371" s="7" t="s">
        <v>681</v>
      </c>
      <c r="C371" s="7" t="s">
        <v>656</v>
      </c>
      <c r="D371" s="7" t="s">
        <v>18</v>
      </c>
      <c r="E371" s="8" t="n">
        <v>4</v>
      </c>
      <c r="F371" s="7" t="s">
        <v>682</v>
      </c>
    </row>
    <row r="372" customFormat="false" ht="15" hidden="false" customHeight="false" outlineLevel="0" collapsed="false">
      <c r="A372" s="7" t="s">
        <v>329</v>
      </c>
      <c r="B372" s="7" t="s">
        <v>683</v>
      </c>
      <c r="C372" s="7" t="s">
        <v>656</v>
      </c>
      <c r="D372" s="7" t="s">
        <v>18</v>
      </c>
      <c r="E372" s="8" t="n">
        <v>22</v>
      </c>
      <c r="F372" s="7"/>
    </row>
    <row r="373" customFormat="false" ht="15" hidden="false" customHeight="false" outlineLevel="0" collapsed="false">
      <c r="A373" s="7" t="s">
        <v>127</v>
      </c>
      <c r="B373" s="7" t="s">
        <v>684</v>
      </c>
      <c r="C373" s="7" t="s">
        <v>656</v>
      </c>
      <c r="D373" s="7" t="s">
        <v>18</v>
      </c>
      <c r="E373" s="8" t="n">
        <v>5</v>
      </c>
      <c r="F373" s="7" t="s">
        <v>685</v>
      </c>
    </row>
    <row r="374" customFormat="false" ht="15" hidden="false" customHeight="false" outlineLevel="0" collapsed="false">
      <c r="A374" s="7" t="s">
        <v>127</v>
      </c>
      <c r="B374" s="7" t="s">
        <v>686</v>
      </c>
      <c r="C374" s="7" t="s">
        <v>656</v>
      </c>
      <c r="D374" s="7" t="s">
        <v>18</v>
      </c>
      <c r="E374" s="8" t="n">
        <v>12</v>
      </c>
      <c r="F374" s="7" t="s">
        <v>687</v>
      </c>
    </row>
    <row r="375" customFormat="false" ht="15" hidden="false" customHeight="false" outlineLevel="0" collapsed="false">
      <c r="A375" s="7" t="s">
        <v>650</v>
      </c>
      <c r="B375" s="7" t="s">
        <v>688</v>
      </c>
      <c r="C375" s="7" t="s">
        <v>656</v>
      </c>
      <c r="D375" s="7" t="s">
        <v>18</v>
      </c>
      <c r="E375" s="8" t="n">
        <v>18</v>
      </c>
      <c r="F375" s="7" t="s">
        <v>689</v>
      </c>
    </row>
    <row r="376" customFormat="false" ht="15" hidden="false" customHeight="false" outlineLevel="0" collapsed="false">
      <c r="A376" s="7" t="s">
        <v>650</v>
      </c>
      <c r="B376" s="7" t="s">
        <v>690</v>
      </c>
      <c r="C376" s="7" t="s">
        <v>656</v>
      </c>
      <c r="D376" s="7" t="s">
        <v>18</v>
      </c>
      <c r="E376" s="8" t="n">
        <v>11</v>
      </c>
      <c r="F376" s="7" t="s">
        <v>691</v>
      </c>
    </row>
    <row r="378" customFormat="false" ht="15" hidden="false" customHeight="false" outlineLevel="0" collapsed="false">
      <c r="A378" s="4" t="s">
        <v>692</v>
      </c>
      <c r="B378" s="4"/>
      <c r="C378" s="4"/>
      <c r="D378" s="4"/>
      <c r="E378" s="5" t="n">
        <f aca="false">SUM(E379:E380)</f>
        <v>147</v>
      </c>
      <c r="F378" s="6"/>
    </row>
    <row r="379" customFormat="false" ht="15" hidden="false" customHeight="false" outlineLevel="0" collapsed="false">
      <c r="A379" s="7" t="s">
        <v>458</v>
      </c>
      <c r="B379" s="7" t="s">
        <v>693</v>
      </c>
      <c r="C379" s="7" t="s">
        <v>694</v>
      </c>
      <c r="D379" s="7" t="s">
        <v>22</v>
      </c>
      <c r="E379" s="8" t="n">
        <v>87</v>
      </c>
      <c r="F379" s="7"/>
    </row>
    <row r="380" customFormat="false" ht="15" hidden="false" customHeight="false" outlineLevel="0" collapsed="false">
      <c r="A380" s="7" t="s">
        <v>458</v>
      </c>
      <c r="B380" s="7" t="s">
        <v>695</v>
      </c>
      <c r="C380" s="7" t="s">
        <v>694</v>
      </c>
      <c r="D380" s="7" t="s">
        <v>22</v>
      </c>
      <c r="E380" s="8" t="n">
        <v>60</v>
      </c>
      <c r="F380" s="7"/>
    </row>
    <row r="382" customFormat="false" ht="15" hidden="false" customHeight="false" outlineLevel="0" collapsed="false">
      <c r="A382" s="9" t="s">
        <v>696</v>
      </c>
      <c r="B382" s="9"/>
      <c r="C382" s="9"/>
      <c r="D382" s="9"/>
      <c r="E382" s="10" t="n">
        <f aca="false">E5+E46+E154+E176+E227+E245+E252+E262+E276+E292+E301+E307+E338+E352+E378</f>
        <v>51962</v>
      </c>
      <c r="F382" s="11"/>
    </row>
  </sheetData>
  <mergeCells count="18">
    <mergeCell ref="A1:F1"/>
    <mergeCell ref="A2:F2"/>
    <mergeCell ref="A5:D5"/>
    <mergeCell ref="A46:D46"/>
    <mergeCell ref="A154:D154"/>
    <mergeCell ref="A176:D176"/>
    <mergeCell ref="A227:D227"/>
    <mergeCell ref="A245:D245"/>
    <mergeCell ref="A252:D252"/>
    <mergeCell ref="A262:D262"/>
    <mergeCell ref="A276:D276"/>
    <mergeCell ref="A292:D292"/>
    <mergeCell ref="A301:D301"/>
    <mergeCell ref="A307:D307"/>
    <mergeCell ref="A338:D338"/>
    <mergeCell ref="A352:D352"/>
    <mergeCell ref="A378:D378"/>
    <mergeCell ref="A382:D3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697</v>
      </c>
      <c r="B1" s="1"/>
      <c r="C1" s="1"/>
      <c r="D1" s="1"/>
    </row>
    <row r="3" customFormat="false" ht="15" hidden="false" customHeight="false" outlineLevel="0" collapsed="false">
      <c r="A3" s="3" t="s">
        <v>4</v>
      </c>
      <c r="B3" s="3" t="s">
        <v>698</v>
      </c>
      <c r="C3" s="3" t="s">
        <v>6</v>
      </c>
      <c r="D3" s="3" t="s">
        <v>699</v>
      </c>
    </row>
    <row r="4" customFormat="false" ht="15" hidden="false" customHeight="false" outlineLevel="0" collapsed="false">
      <c r="A4" s="7" t="s">
        <v>11</v>
      </c>
      <c r="B4" s="12" t="n">
        <v>39</v>
      </c>
      <c r="C4" s="8" t="n">
        <v>23718</v>
      </c>
      <c r="D4" s="13" t="n">
        <f aca="false">C4/C19</f>
        <v>0.456448943458681</v>
      </c>
    </row>
    <row r="5" customFormat="false" ht="15" hidden="false" customHeight="false" outlineLevel="0" collapsed="false">
      <c r="A5" s="7" t="s">
        <v>81</v>
      </c>
      <c r="B5" s="12" t="n">
        <v>106</v>
      </c>
      <c r="C5" s="8" t="n">
        <v>9243</v>
      </c>
      <c r="D5" s="13" t="n">
        <f aca="false">C5/C19</f>
        <v>0.177879989222894</v>
      </c>
    </row>
    <row r="6" customFormat="false" ht="15" hidden="false" customHeight="false" outlineLevel="0" collapsed="false">
      <c r="A6" s="7" t="s">
        <v>311</v>
      </c>
      <c r="B6" s="12" t="n">
        <v>20</v>
      </c>
      <c r="C6" s="8" t="n">
        <v>5617</v>
      </c>
      <c r="D6" s="13" t="n">
        <f aca="false">C6/C19</f>
        <v>0.108098225626419</v>
      </c>
    </row>
    <row r="7" customFormat="false" ht="15" hidden="false" customHeight="false" outlineLevel="0" collapsed="false">
      <c r="A7" s="7" t="s">
        <v>346</v>
      </c>
      <c r="B7" s="12" t="n">
        <v>49</v>
      </c>
      <c r="C7" s="8" t="n">
        <v>2166</v>
      </c>
      <c r="D7" s="13" t="n">
        <f aca="false">C7/C19</f>
        <v>0.0416843077633655</v>
      </c>
    </row>
    <row r="8" customFormat="false" ht="15" hidden="false" customHeight="false" outlineLevel="0" collapsed="false">
      <c r="A8" s="7" t="s">
        <v>436</v>
      </c>
      <c r="B8" s="12" t="n">
        <v>16</v>
      </c>
      <c r="C8" s="8" t="n">
        <v>1764</v>
      </c>
      <c r="D8" s="13" t="n">
        <f aca="false">C8/C19</f>
        <v>0.0339478849928794</v>
      </c>
    </row>
    <row r="9" customFormat="false" ht="15" hidden="false" customHeight="false" outlineLevel="0" collapsed="false">
      <c r="A9" s="7" t="s">
        <v>466</v>
      </c>
      <c r="B9" s="12" t="n">
        <v>5</v>
      </c>
      <c r="C9" s="8" t="n">
        <v>1658</v>
      </c>
      <c r="D9" s="13" t="n">
        <f aca="false">C9/C19</f>
        <v>0.0319079327200647</v>
      </c>
    </row>
    <row r="10" customFormat="false" ht="15" hidden="false" customHeight="false" outlineLevel="0" collapsed="false">
      <c r="A10" s="7" t="s">
        <v>478</v>
      </c>
      <c r="B10" s="12" t="n">
        <v>8</v>
      </c>
      <c r="C10" s="8" t="n">
        <v>1499</v>
      </c>
      <c r="D10" s="13" t="n">
        <f aca="false">C10/C19</f>
        <v>0.0288480043108425</v>
      </c>
    </row>
    <row r="11" customFormat="false" ht="15" hidden="false" customHeight="false" outlineLevel="0" collapsed="false">
      <c r="A11" s="7" t="s">
        <v>496</v>
      </c>
      <c r="B11" s="12" t="n">
        <v>12</v>
      </c>
      <c r="C11" s="8" t="n">
        <v>1255</v>
      </c>
      <c r="D11" s="13" t="n">
        <f aca="false">C11/C19</f>
        <v>0.0241522651168161</v>
      </c>
    </row>
    <row r="12" customFormat="false" ht="15" hidden="false" customHeight="false" outlineLevel="0" collapsed="false">
      <c r="A12" s="7" t="s">
        <v>521</v>
      </c>
      <c r="B12" s="12" t="n">
        <v>14</v>
      </c>
      <c r="C12" s="8" t="n">
        <v>1252</v>
      </c>
      <c r="D12" s="13" t="n">
        <f aca="false">C12/C19</f>
        <v>0.0240945306185289</v>
      </c>
    </row>
    <row r="13" customFormat="false" ht="15" hidden="false" customHeight="false" outlineLevel="0" collapsed="false">
      <c r="A13" s="7" t="s">
        <v>547</v>
      </c>
      <c r="B13" s="12" t="n">
        <v>7</v>
      </c>
      <c r="C13" s="8" t="n">
        <v>1118</v>
      </c>
      <c r="D13" s="13" t="n">
        <f aca="false">C13/C19</f>
        <v>0.0215157230283669</v>
      </c>
    </row>
    <row r="14" customFormat="false" ht="15" hidden="false" customHeight="false" outlineLevel="0" collapsed="false">
      <c r="A14" s="7" t="s">
        <v>564</v>
      </c>
      <c r="B14" s="12" t="n">
        <v>4</v>
      </c>
      <c r="C14" s="8" t="n">
        <v>1054</v>
      </c>
      <c r="D14" s="13" t="n">
        <f aca="false">C14/C19</f>
        <v>0.0202840537315731</v>
      </c>
    </row>
    <row r="15" customFormat="false" ht="15" hidden="false" customHeight="false" outlineLevel="0" collapsed="false">
      <c r="A15" s="7" t="s">
        <v>573</v>
      </c>
      <c r="B15" s="12" t="n">
        <v>29</v>
      </c>
      <c r="C15" s="8" t="n">
        <v>884</v>
      </c>
      <c r="D15" s="13" t="n">
        <f aca="false">C15/C19</f>
        <v>0.0170124321619645</v>
      </c>
    </row>
    <row r="16" customFormat="false" ht="15" hidden="false" customHeight="false" outlineLevel="0" collapsed="false">
      <c r="A16" s="7" t="s">
        <v>629</v>
      </c>
      <c r="B16" s="12" t="n">
        <v>12</v>
      </c>
      <c r="C16" s="8" t="n">
        <v>394</v>
      </c>
      <c r="D16" s="13" t="n">
        <f aca="false">C16/C19</f>
        <v>0.0075824641083869</v>
      </c>
    </row>
    <row r="17" customFormat="false" ht="15" hidden="false" customHeight="false" outlineLevel="0" collapsed="false">
      <c r="A17" s="7" t="s">
        <v>656</v>
      </c>
      <c r="B17" s="12" t="n">
        <v>24</v>
      </c>
      <c r="C17" s="8" t="n">
        <v>193</v>
      </c>
      <c r="D17" s="13" t="n">
        <f aca="false">C17/C19</f>
        <v>0.00371425272314384</v>
      </c>
    </row>
    <row r="18" customFormat="false" ht="15" hidden="false" customHeight="false" outlineLevel="0" collapsed="false">
      <c r="A18" s="7" t="s">
        <v>694</v>
      </c>
      <c r="B18" s="12" t="n">
        <v>2</v>
      </c>
      <c r="C18" s="8" t="n">
        <v>147</v>
      </c>
      <c r="D18" s="13" t="n">
        <f aca="false">C18/C19</f>
        <v>0.00282899041607328</v>
      </c>
    </row>
    <row r="19" customFormat="false" ht="15" hidden="false" customHeight="false" outlineLevel="0" collapsed="false">
      <c r="A19" s="11" t="s">
        <v>700</v>
      </c>
      <c r="B19" s="14" t="n">
        <f aca="false">SUM(B4:B18)</f>
        <v>347</v>
      </c>
      <c r="C19" s="10" t="n">
        <f aca="false">SUM(C4:C18)</f>
        <v>51962</v>
      </c>
      <c r="D19" s="15" t="n">
        <v>1</v>
      </c>
    </row>
    <row r="22" customFormat="false" ht="15" hidden="false" customHeight="false" outlineLevel="0" collapsed="false">
      <c r="A22" s="16" t="s">
        <v>701</v>
      </c>
      <c r="B22" s="16"/>
      <c r="C22" s="16"/>
      <c r="D22" s="16"/>
    </row>
    <row r="23" customFormat="false" ht="15" hidden="false" customHeight="false" outlineLevel="0" collapsed="false">
      <c r="A23" s="3" t="s">
        <v>5</v>
      </c>
      <c r="B23" s="3" t="s">
        <v>698</v>
      </c>
      <c r="C23" s="3" t="s">
        <v>6</v>
      </c>
      <c r="D23" s="3" t="s">
        <v>699</v>
      </c>
    </row>
    <row r="24" customFormat="false" ht="15" hidden="false" customHeight="false" outlineLevel="0" collapsed="false">
      <c r="A24" s="7" t="s">
        <v>12</v>
      </c>
      <c r="B24" s="12" t="n">
        <v>183</v>
      </c>
      <c r="C24" s="8" t="n">
        <v>27255</v>
      </c>
      <c r="D24" s="17" t="n">
        <f aca="false">C24/C30</f>
        <v>0.528525442134657</v>
      </c>
    </row>
    <row r="25" customFormat="false" ht="15" hidden="false" customHeight="false" outlineLevel="0" collapsed="false">
      <c r="A25" s="7" t="s">
        <v>15</v>
      </c>
      <c r="B25" s="12" t="n">
        <v>1</v>
      </c>
      <c r="C25" s="8" t="n">
        <v>11451</v>
      </c>
      <c r="D25" s="17" t="n">
        <f aca="false">C25/C30</f>
        <v>0.222056313993174</v>
      </c>
    </row>
    <row r="26" customFormat="false" ht="15" hidden="false" customHeight="false" outlineLevel="0" collapsed="false">
      <c r="A26" s="7" t="s">
        <v>37</v>
      </c>
      <c r="B26" s="12" t="n">
        <v>7</v>
      </c>
      <c r="C26" s="8" t="n">
        <v>7059</v>
      </c>
      <c r="D26" s="17" t="n">
        <f aca="false">C26/C30</f>
        <v>0.136887216878684</v>
      </c>
    </row>
    <row r="27" customFormat="false" ht="15" hidden="false" customHeight="false" outlineLevel="0" collapsed="false">
      <c r="A27" s="7" t="s">
        <v>22</v>
      </c>
      <c r="B27" s="12" t="n">
        <v>93</v>
      </c>
      <c r="C27" s="8" t="n">
        <v>4385</v>
      </c>
      <c r="D27" s="17" t="n">
        <f aca="false">C27/C30</f>
        <v>0.0850333540179957</v>
      </c>
    </row>
    <row r="28" customFormat="false" ht="15" hidden="false" customHeight="false" outlineLevel="0" collapsed="false">
      <c r="A28" s="7" t="s">
        <v>18</v>
      </c>
      <c r="B28" s="12" t="n">
        <v>49</v>
      </c>
      <c r="C28" s="8" t="n">
        <v>1378</v>
      </c>
      <c r="D28" s="17" t="n">
        <f aca="false">C28/C30</f>
        <v>0.0267219981383804</v>
      </c>
    </row>
    <row r="29" customFormat="false" ht="15" hidden="false" customHeight="false" outlineLevel="0" collapsed="false">
      <c r="A29" s="7" t="s">
        <v>321</v>
      </c>
      <c r="B29" s="12" t="n">
        <v>1</v>
      </c>
      <c r="C29" s="8" t="n">
        <v>40</v>
      </c>
      <c r="D29" s="17" t="n">
        <f aca="false">C29/C30</f>
        <v>0.000775674837108284</v>
      </c>
    </row>
    <row r="30" customFormat="false" ht="15" hidden="false" customHeight="false" outlineLevel="0" collapsed="false">
      <c r="A30" s="11" t="s">
        <v>700</v>
      </c>
      <c r="B30" s="14" t="n">
        <f aca="false">SUM(B24:B29)</f>
        <v>334</v>
      </c>
      <c r="C30" s="10" t="n">
        <f aca="false">SUM(C24:C29)</f>
        <v>51568</v>
      </c>
      <c r="D30" s="15" t="n">
        <v>1</v>
      </c>
    </row>
  </sheetData>
  <mergeCells count="2">
    <mergeCell ref="A1:D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702</v>
      </c>
      <c r="B1" s="1"/>
      <c r="C1" s="1"/>
      <c r="D1" s="1"/>
      <c r="E1" s="1"/>
    </row>
    <row r="3" customFormat="false" ht="15" hidden="false" customHeight="false" outlineLevel="0" collapsed="false">
      <c r="A3" s="3" t="s">
        <v>703</v>
      </c>
      <c r="B3" s="3" t="s">
        <v>698</v>
      </c>
      <c r="C3" s="3" t="s">
        <v>704</v>
      </c>
      <c r="D3" s="3" t="s">
        <v>699</v>
      </c>
      <c r="E3" s="3" t="s">
        <v>705</v>
      </c>
    </row>
    <row r="4" customFormat="false" ht="15" hidden="false" customHeight="false" outlineLevel="0" collapsed="false">
      <c r="A4" s="18" t="n">
        <v>2001</v>
      </c>
      <c r="B4" s="12" t="n">
        <v>1</v>
      </c>
      <c r="C4" s="8" t="n">
        <v>12</v>
      </c>
      <c r="D4" s="13" t="n">
        <f aca="false">C4/C18</f>
        <v>0.00023093799314884</v>
      </c>
      <c r="E4" s="19" t="s">
        <v>706</v>
      </c>
    </row>
    <row r="5" customFormat="false" ht="15" hidden="false" customHeight="false" outlineLevel="0" collapsed="false">
      <c r="A5" s="18" t="n">
        <v>2007</v>
      </c>
      <c r="B5" s="12" t="n">
        <v>13</v>
      </c>
      <c r="C5" s="8" t="n">
        <v>13532</v>
      </c>
      <c r="D5" s="13" t="n">
        <f aca="false">C5/C18</f>
        <v>0.260421076940841</v>
      </c>
      <c r="E5" s="19" t="s">
        <v>707</v>
      </c>
    </row>
    <row r="6" customFormat="false" ht="23.85" hidden="false" customHeight="false" outlineLevel="0" collapsed="false">
      <c r="A6" s="18" t="n">
        <v>2008</v>
      </c>
      <c r="B6" s="12" t="n">
        <v>87</v>
      </c>
      <c r="C6" s="8" t="n">
        <v>14877</v>
      </c>
      <c r="D6" s="13" t="n">
        <f aca="false">C6/C18</f>
        <v>0.286305377006274</v>
      </c>
      <c r="E6" s="19" t="s">
        <v>708</v>
      </c>
    </row>
    <row r="7" customFormat="false" ht="15" hidden="false" customHeight="false" outlineLevel="0" collapsed="false">
      <c r="A7" s="18" t="n">
        <v>2009</v>
      </c>
      <c r="B7" s="12" t="n">
        <v>6</v>
      </c>
      <c r="C7" s="8" t="n">
        <v>3006</v>
      </c>
      <c r="D7" s="13" t="n">
        <f aca="false">C7/C18</f>
        <v>0.0578499672837843</v>
      </c>
      <c r="E7" s="19" t="s">
        <v>709</v>
      </c>
    </row>
    <row r="8" customFormat="false" ht="23.85" hidden="false" customHeight="false" outlineLevel="0" collapsed="false">
      <c r="A8" s="18" t="n">
        <v>2010</v>
      </c>
      <c r="B8" s="12" t="n">
        <v>49</v>
      </c>
      <c r="C8" s="8" t="n">
        <v>4303</v>
      </c>
      <c r="D8" s="13" t="n">
        <f aca="false">C8/C18</f>
        <v>0.0828105153766214</v>
      </c>
      <c r="E8" s="19" t="s">
        <v>710</v>
      </c>
    </row>
    <row r="9" customFormat="false" ht="15" hidden="false" customHeight="false" outlineLevel="0" collapsed="false">
      <c r="A9" s="18" t="n">
        <v>2011</v>
      </c>
      <c r="B9" s="12" t="n">
        <v>1</v>
      </c>
      <c r="C9" s="8" t="n">
        <v>77</v>
      </c>
      <c r="D9" s="13" t="n">
        <f aca="false">C9/C18</f>
        <v>0.00148185212270505</v>
      </c>
      <c r="E9" s="19" t="s">
        <v>711</v>
      </c>
    </row>
    <row r="10" customFormat="false" ht="15" hidden="false" customHeight="false" outlineLevel="0" collapsed="false">
      <c r="A10" s="18" t="n">
        <v>2014</v>
      </c>
      <c r="B10" s="12" t="n">
        <v>5</v>
      </c>
      <c r="C10" s="8" t="n">
        <v>1050</v>
      </c>
      <c r="D10" s="13" t="n">
        <f aca="false">C10/C18</f>
        <v>0.0202070744005235</v>
      </c>
      <c r="E10" s="19" t="s">
        <v>712</v>
      </c>
    </row>
    <row r="11" customFormat="false" ht="15" hidden="false" customHeight="false" outlineLevel="0" collapsed="false">
      <c r="A11" s="18" t="n">
        <v>2016</v>
      </c>
      <c r="B11" s="12" t="n">
        <v>3</v>
      </c>
      <c r="C11" s="8" t="n">
        <v>174</v>
      </c>
      <c r="D11" s="13" t="n">
        <f aca="false">C11/C18</f>
        <v>0.00334860090065817</v>
      </c>
      <c r="E11" s="19" t="s">
        <v>713</v>
      </c>
    </row>
    <row r="12" customFormat="false" ht="35.05" hidden="false" customHeight="false" outlineLevel="0" collapsed="false">
      <c r="A12" s="18" t="n">
        <v>2017</v>
      </c>
      <c r="B12" s="12" t="n">
        <v>96</v>
      </c>
      <c r="C12" s="8" t="n">
        <v>9615</v>
      </c>
      <c r="D12" s="13" t="n">
        <f aca="false">C12/C18</f>
        <v>0.185039067010508</v>
      </c>
      <c r="E12" s="19" t="s">
        <v>714</v>
      </c>
    </row>
    <row r="13" customFormat="false" ht="15" hidden="false" customHeight="false" outlineLevel="0" collapsed="false">
      <c r="A13" s="18" t="n">
        <v>2018</v>
      </c>
      <c r="B13" s="12" t="n">
        <v>9</v>
      </c>
      <c r="C13" s="8" t="n">
        <v>164</v>
      </c>
      <c r="D13" s="13" t="n">
        <f aca="false">C13/C18</f>
        <v>0.00315615257303414</v>
      </c>
      <c r="E13" s="19" t="s">
        <v>715</v>
      </c>
    </row>
    <row r="14" customFormat="false" ht="23.85" hidden="false" customHeight="false" outlineLevel="0" collapsed="false">
      <c r="A14" s="18" t="n">
        <v>2019</v>
      </c>
      <c r="B14" s="12" t="n">
        <v>24</v>
      </c>
      <c r="C14" s="8" t="n">
        <v>2943</v>
      </c>
      <c r="D14" s="13" t="n">
        <f aca="false">C14/C18</f>
        <v>0.0566375428197529</v>
      </c>
      <c r="E14" s="19" t="s">
        <v>716</v>
      </c>
    </row>
    <row r="15" customFormat="false" ht="23.85" hidden="false" customHeight="false" outlineLevel="0" collapsed="false">
      <c r="A15" s="18" t="n">
        <v>2020</v>
      </c>
      <c r="B15" s="12" t="n">
        <v>44</v>
      </c>
      <c r="C15" s="8" t="n">
        <v>1765</v>
      </c>
      <c r="D15" s="13" t="n">
        <f aca="false">C15/C18</f>
        <v>0.0339671298256418</v>
      </c>
      <c r="E15" s="19" t="s">
        <v>717</v>
      </c>
    </row>
    <row r="16" customFormat="false" ht="15" hidden="false" customHeight="false" outlineLevel="0" collapsed="false">
      <c r="A16" s="18" t="n">
        <v>2021</v>
      </c>
      <c r="B16" s="12" t="n">
        <v>3</v>
      </c>
      <c r="C16" s="8" t="n">
        <v>199</v>
      </c>
      <c r="D16" s="13" t="n">
        <f aca="false">C16/C18</f>
        <v>0.00382972171971826</v>
      </c>
      <c r="E16" s="19" t="s">
        <v>718</v>
      </c>
    </row>
    <row r="17" customFormat="false" ht="15" hidden="false" customHeight="false" outlineLevel="0" collapsed="false">
      <c r="A17" s="18" t="n">
        <v>2023</v>
      </c>
      <c r="B17" s="12" t="n">
        <v>6</v>
      </c>
      <c r="C17" s="8" t="n">
        <v>245</v>
      </c>
      <c r="D17" s="13" t="n">
        <f aca="false">C17/C18</f>
        <v>0.00471498402678881</v>
      </c>
      <c r="E17" s="19" t="s">
        <v>719</v>
      </c>
    </row>
    <row r="18" customFormat="false" ht="15" hidden="false" customHeight="false" outlineLevel="0" collapsed="false">
      <c r="A18" s="11" t="s">
        <v>700</v>
      </c>
      <c r="B18" s="14" t="n">
        <f aca="false">SUM(B4:B17)</f>
        <v>347</v>
      </c>
      <c r="C18" s="10" t="n">
        <f aca="false">SUM(C4:C17)</f>
        <v>51962</v>
      </c>
      <c r="D18" s="15" t="n">
        <v>1</v>
      </c>
      <c r="E18" s="20"/>
    </row>
    <row r="21" customFormat="false" ht="15" hidden="false" customHeight="false" outlineLevel="0" collapsed="false">
      <c r="A21" s="16" t="s">
        <v>720</v>
      </c>
      <c r="B21" s="16"/>
      <c r="C21" s="16"/>
      <c r="D21" s="16"/>
      <c r="E21" s="16"/>
    </row>
    <row r="22" customFormat="false" ht="15" hidden="false" customHeight="true" outlineLevel="0" collapsed="false">
      <c r="A22" s="21" t="s">
        <v>721</v>
      </c>
      <c r="B22" s="22" t="s">
        <v>722</v>
      </c>
      <c r="C22" s="23" t="s">
        <v>723</v>
      </c>
      <c r="D22" s="23"/>
      <c r="E22" s="23"/>
    </row>
    <row r="23" customFormat="false" ht="15" hidden="false" customHeight="true" outlineLevel="0" collapsed="false">
      <c r="A23" s="21" t="s">
        <v>724</v>
      </c>
      <c r="B23" s="22" t="s">
        <v>725</v>
      </c>
      <c r="C23" s="23" t="s">
        <v>726</v>
      </c>
      <c r="D23" s="23"/>
      <c r="E23" s="23"/>
    </row>
    <row r="24" customFormat="false" ht="15" hidden="false" customHeight="true" outlineLevel="0" collapsed="false">
      <c r="A24" s="21" t="s">
        <v>727</v>
      </c>
      <c r="B24" s="22" t="s">
        <v>728</v>
      </c>
      <c r="C24" s="23" t="s">
        <v>729</v>
      </c>
      <c r="D24" s="23"/>
      <c r="E24" s="23"/>
    </row>
    <row r="25" customFormat="false" ht="15" hidden="false" customHeight="true" outlineLevel="0" collapsed="false">
      <c r="A25" s="21" t="s">
        <v>730</v>
      </c>
      <c r="B25" s="22" t="s">
        <v>731</v>
      </c>
      <c r="C25" s="23" t="s">
        <v>732</v>
      </c>
      <c r="D25" s="23"/>
      <c r="E25" s="23"/>
    </row>
    <row r="26" customFormat="false" ht="15" hidden="false" customHeight="true" outlineLevel="0" collapsed="false">
      <c r="A26" s="21" t="s">
        <v>733</v>
      </c>
      <c r="B26" s="22" t="s">
        <v>734</v>
      </c>
      <c r="C26" s="23" t="s">
        <v>735</v>
      </c>
      <c r="D26" s="23"/>
      <c r="E26" s="23"/>
    </row>
  </sheetData>
  <mergeCells count="7">
    <mergeCell ref="A1:E1"/>
    <mergeCell ref="A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2026-02-08T09:20:08Z</dcterms:created>
  <dc:creator>openpyxl</dc:creator>
  <dc:description/>
  <dc:language>en-US</dc:language>
  <cp:lastModifiedBy/>
  <dcterms:modified xsi:type="dcterms:W3CDTF">2026-02-08T09:20:08Z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